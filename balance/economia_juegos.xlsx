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TQ · Tanques" sheetId="2" state="visible" r:id="rId4"/>
    <sheet name="TQ · Armas" sheetId="3" state="visible" r:id="rId5"/>
    <sheet name="TQ · Objetos" sheetId="4" state="visible" r:id="rId6"/>
    <sheet name="TQ · Jefes" sheetId="5" state="visible" r:id="rId7"/>
    <sheet name="TQ · Supervivencia" sheetId="6" state="visible" r:id="rId8"/>
    <sheet name="TQ · Monedas" sheetId="7" state="visible" r:id="rId9"/>
    <sheet name="MP · Reglas" sheetId="8" state="visible" r:id="rId10"/>
    <sheet name="MP · Cartas" sheetId="9" state="visible" r:id="rId11"/>
    <sheet name="MP · Jefes" sheetId="10" state="visible" r:id="rId12"/>
    <sheet name="MP · Castillo" sheetId="11" state="visible" r:id="rId13"/>
    <sheet name="MP · Bosqu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<sst xmlns="http://schemas.openxmlformats.org/spreadsheetml/2006/main" count="769" uniqueCount="518">
  <si>
    <t xml:space="preserve">Economía y balance</t>
  </si>
  <si>
    <t xml:space="preserve">Extracto de los valores de juego de Magic Poker y Tanques Web, sacado directamente del código.</t>
  </si>
  <si>
    <t xml:space="preserve">Cómo se usa</t>
  </si>
  <si>
    <t xml:space="preserve">1. Edita</t>
  </si>
  <si>
    <t xml:space="preserve">Cambia solo las celdas con fondo de color (tinte del juego). Columnas con cabecera de color = editables.</t>
  </si>
  <si>
    <t xml:space="preserve">2. Pide el cambio</t>
  </si>
  <si>
    <t xml:space="preserve">Sube el Excel y di a Claude «aplica el Excel». Comparará cada valor con el código y cambiará solo lo distinto.</t>
  </si>
  <si>
    <t xml:space="preserve">3. Fuente</t>
  </si>
  <si>
    <t xml:space="preserve">Cada tabla indica el archivo de origen (arriba a la derecha) para saber qué se toca.</t>
  </si>
  <si>
    <t xml:space="preserve">Celdas grises / fórmulas</t>
  </si>
  <si>
    <t xml:space="preserve">Son de lectura: resúmenes calculados (costes totales, vidas por piso...). Se recalculan solas.</t>
  </si>
  <si>
    <t xml:space="preserve">No editar</t>
  </si>
  <si>
    <t xml:space="preserve">Columna ID / nombres internos: son la clave para encontrar el valor en el código.</t>
  </si>
  <si>
    <t xml:space="preserve">Juegos</t>
  </si>
  <si>
    <t xml:space="preserve">  TANQUES WEB</t>
  </si>
  <si>
    <t xml:space="preserve">Pestañas «TQ · …»   ·   celda editable de ejemplo →</t>
  </si>
  <si>
    <t xml:space="preserve">  MAGIC POKER</t>
  </si>
  <si>
    <t xml:space="preserve">Pestañas «MP · …»   ·   celda editable de ejemplo →</t>
  </si>
  <si>
    <t xml:space="preserve">TANQUES WEB</t>
  </si>
  <si>
    <t xml:space="preserve">Tanques</t>
  </si>
  <si>
    <t xml:space="preserve">Vida, velocidad y arma de cada tanque y enemigo de supervivencia</t>
  </si>
  <si>
    <t xml:space="preserve">Tanques base</t>
  </si>
  <si>
    <t xml:space="preserve">content/tanks.js</t>
  </si>
  <si>
    <t xml:space="preserve">ID</t>
  </si>
  <si>
    <t xml:space="preserve">Nombre</t>
  </si>
  <si>
    <t xml:space="preserve">Vida</t>
  </si>
  <si>
    <t xml:space="preserve">Velocidad</t>
  </si>
  <si>
    <t xml:space="preserve">Radio</t>
  </si>
  <si>
    <t xml:space="preserve">Arma</t>
  </si>
  <si>
    <t xml:space="preserve">hero</t>
  </si>
  <si>
    <t xml:space="preserve">CHISPA</t>
  </si>
  <si>
    <t xml:space="preserve">cannon</t>
  </si>
  <si>
    <t xml:space="preserve">rival</t>
  </si>
  <si>
    <t xml:space="preserve">BRUTO</t>
  </si>
  <si>
    <t xml:space="preserve">dummy</t>
  </si>
  <si>
    <t xml:space="preserve">MUÑECO</t>
  </si>
  <si>
    <t xml:space="preserve">grunt</t>
  </si>
  <si>
    <t xml:space="preserve">SOLDADO</t>
  </si>
  <si>
    <t xml:space="preserve">scout</t>
  </si>
  <si>
    <t xml:space="preserve">EXPLORADOR</t>
  </si>
  <si>
    <t xml:space="preserve">brute</t>
  </si>
  <si>
    <t xml:space="preserve">Enemigos de supervivencia</t>
  </si>
  <si>
    <t xml:space="preserve">content/survival.js · ENEMY_TYPES</t>
  </si>
  <si>
    <t xml:space="preserve">Desde oleada</t>
  </si>
  <si>
    <t xml:space="preserve">sniper</t>
  </si>
  <si>
    <t xml:space="preserve">FRANCOTIRADOR</t>
  </si>
  <si>
    <t xml:space="preserve">miner</t>
  </si>
  <si>
    <t xml:space="preserve">MINADOR</t>
  </si>
  <si>
    <t xml:space="preserve">minerGun</t>
  </si>
  <si>
    <t xml:space="preserve">armored</t>
  </si>
  <si>
    <t xml:space="preserve">ACORAZADO</t>
  </si>
  <si>
    <t xml:space="preserve">Armas</t>
  </si>
  <si>
    <t xml:space="preserve">interval = s entre disparos · magazine = balas por cargador · reload = s de recarga</t>
  </si>
  <si>
    <t xml:space="preserve">content/weapons.js</t>
  </si>
  <si>
    <t xml:space="preserve">interval</t>
  </si>
  <si>
    <t xml:space="preserve">magazine</t>
  </si>
  <si>
    <t xml:space="preserve">reload</t>
  </si>
  <si>
    <t xml:space="preserve">firstShotDelay</t>
  </si>
  <si>
    <t xml:space="preserve">speed</t>
  </si>
  <si>
    <t xml:space="preserve">damage</t>
  </si>
  <si>
    <t xml:space="preserve">range</t>
  </si>
  <si>
    <t xml:space="preserve">count</t>
  </si>
  <si>
    <t xml:space="preserve">spread</t>
  </si>
  <si>
    <t xml:space="preserve">size</t>
  </si>
  <si>
    <t xml:space="preserve">muzzle</t>
  </si>
  <si>
    <t xml:space="preserve">bossCannon</t>
  </si>
  <si>
    <t xml:space="preserve">droneGun</t>
  </si>
  <si>
    <t xml:space="preserve">miniBossCannon</t>
  </si>
  <si>
    <t xml:space="preserve">Objetos</t>
  </si>
  <si>
    <t xml:space="preserve">Power-ups de la arena y sus reglas de aparición</t>
  </si>
  <si>
    <t xml:space="preserve">Efecto de cada objeto</t>
  </si>
  <si>
    <t xml:space="preserve">content/pickups.js · PICKUPS</t>
  </si>
  <si>
    <t xml:space="preserve">Parámetro</t>
  </si>
  <si>
    <t xml:space="preserve">Valor</t>
  </si>
  <si>
    <t xml:space="preserve">heal</t>
  </si>
  <si>
    <t xml:space="preserve">VIDA</t>
  </si>
  <si>
    <t xml:space="preserve">power</t>
  </si>
  <si>
    <t xml:space="preserve">BALA DE FUEGO</t>
  </si>
  <si>
    <t xml:space="preserve">damageMult</t>
  </si>
  <si>
    <t xml:space="preserve">shield</t>
  </si>
  <si>
    <t xml:space="preserve">ESCUDO</t>
  </si>
  <si>
    <t xml:space="preserve">turbo</t>
  </si>
  <si>
    <t xml:space="preserve">TURBO</t>
  </si>
  <si>
    <t xml:space="preserve">speedMult</t>
  </si>
  <si>
    <t xml:space="preserve">bounce</t>
  </si>
  <si>
    <t xml:space="preserve">REBOTE</t>
  </si>
  <si>
    <t xml:space="preserve">radar</t>
  </si>
  <si>
    <t xml:space="preserve">RADAR</t>
  </si>
  <si>
    <t xml:space="preserve">triple</t>
  </si>
  <si>
    <t xml:space="preserve">TRIPLE DISPARO</t>
  </si>
  <si>
    <t xml:space="preserve">decoy</t>
  </si>
  <si>
    <t xml:space="preserve">SEÑUELO</t>
  </si>
  <si>
    <t xml:space="preserve">decoy.life</t>
  </si>
  <si>
    <t xml:space="preserve">decoy.cloak</t>
  </si>
  <si>
    <t xml:space="preserve">nuke</t>
  </si>
  <si>
    <t xml:space="preserve">BOMBA NUCLEAR</t>
  </si>
  <si>
    <t xml:space="preserve">nuke.radius</t>
  </si>
  <si>
    <t xml:space="preserve">nuke.damage</t>
  </si>
  <si>
    <t xml:space="preserve">nuke.flight</t>
  </si>
  <si>
    <t xml:space="preserve">Reglas de aparición</t>
  </si>
  <si>
    <t xml:space="preserve">content/pickups.js · PICKUP_RULES</t>
  </si>
  <si>
    <t xml:space="preserve">firstDelay</t>
  </si>
  <si>
    <t xml:space="preserve">lifetime</t>
  </si>
  <si>
    <t xml:space="preserve">swapDelay</t>
  </si>
  <si>
    <t xml:space="preserve">respawnDelay</t>
  </si>
  <si>
    <t xml:space="preserve">minTankDist</t>
  </si>
  <si>
    <t xml:space="preserve">minPrevDist</t>
  </si>
  <si>
    <t xml:space="preserve">fairness</t>
  </si>
  <si>
    <t xml:space="preserve">radius</t>
  </si>
  <si>
    <t xml:space="preserve">blinkTime</t>
  </si>
  <si>
    <t xml:space="preserve">Peso de cada objeto (partida rápida)</t>
  </si>
  <si>
    <t xml:space="preserve">PICKUP_RULES.kinds</t>
  </si>
  <si>
    <t xml:space="preserve">Objeto</t>
  </si>
  <si>
    <t xml:space="preserve">Peso</t>
  </si>
  <si>
    <t xml:space="preserve">Jefes</t>
  </si>
  <si>
    <t xml:space="preserve">Campaña: un jefe por mundo. Ataque especial: cast = aviso (s), cooldown = s entre ataques</t>
  </si>
  <si>
    <t xml:space="preserve">Jefes de campaña</t>
  </si>
  <si>
    <t xml:space="preserve">content/campaign.js · WORLDS</t>
  </si>
  <si>
    <t xml:space="preserve">Jefe</t>
  </si>
  <si>
    <t xml:space="preserve">Escala</t>
  </si>
  <si>
    <t xml:space="preserve">Ataque</t>
  </si>
  <si>
    <t xml:space="preserve">Aviso (s)</t>
  </si>
  <si>
    <t xml:space="preserve">Cooldown (s)</t>
  </si>
  <si>
    <t xml:space="preserve">Otros (clave=valor)</t>
  </si>
  <si>
    <t xml:space="preserve">w1</t>
  </si>
  <si>
    <t xml:space="preserve">TRACTORÓN</t>
  </si>
  <si>
    <t xml:space="preserve">charge</t>
  </si>
  <si>
    <t xml:space="preserve">speed=3.2; time=1.3; repeat2=2</t>
  </si>
  <si>
    <t xml:space="preserve">w2</t>
  </si>
  <si>
    <t xml:space="preserve">CANGREJOTE</t>
  </si>
  <si>
    <t xml:space="preserve">wave</t>
  </si>
  <si>
    <t xml:space="preserve">speed=5.5</t>
  </si>
  <si>
    <t xml:space="preserve">w3</t>
  </si>
  <si>
    <t xml:space="preserve">ESCORPIÓN</t>
  </si>
  <si>
    <t xml:space="preserve">storm</t>
  </si>
  <si>
    <t xml:space="preserve">count=2; count2=3; life=5.5; speed=2.1</t>
  </si>
  <si>
    <t xml:space="preserve">w4</t>
  </si>
  <si>
    <t xml:space="preserve">PASTELÓN</t>
  </si>
  <si>
    <t xml:space="preserve">ring</t>
  </si>
  <si>
    <t xml:space="preserve">count=14; rings2=3</t>
  </si>
  <si>
    <t xml:space="preserve">w5</t>
  </si>
  <si>
    <t xml:space="preserve">MUÑECÓN</t>
  </si>
  <si>
    <t xml:space="preserve">icicles</t>
  </si>
  <si>
    <t xml:space="preserve">count=4; count2=6; delay=1.3; radius=0.8</t>
  </si>
  <si>
    <t xml:space="preserve">w6</t>
  </si>
  <si>
    <t xml:space="preserve">ROBOPATRULLA</t>
  </si>
  <si>
    <t xml:space="preserve">summon</t>
  </si>
  <si>
    <t xml:space="preserve">count=1; count2=2; max=2; radar=2.5</t>
  </si>
  <si>
    <t xml:space="preserve">w7</t>
  </si>
  <si>
    <t xml:space="preserve">MAGMATÓN</t>
  </si>
  <si>
    <t xml:space="preserve">meteors</t>
  </si>
  <si>
    <t xml:space="preserve">count=3; count2=5; delay=1.3; radius=0.95; lava=3.5</t>
  </si>
  <si>
    <t xml:space="preserve">w8</t>
  </si>
  <si>
    <t xml:space="preserve">MARCIANÓN</t>
  </si>
  <si>
    <t xml:space="preserve">laser</t>
  </si>
  <si>
    <t xml:space="preserve">warn=0.9; time=3.2; turn=1; turn2=1.35</t>
  </si>
  <si>
    <t xml:space="preserve">secret</t>
  </si>
  <si>
    <t xml:space="preserve">PRISMA</t>
  </si>
  <si>
    <t xml:space="preserve">mix</t>
  </si>
  <si>
    <t xml:space="preserve">cooldown2=4.2</t>
  </si>
  <si>
    <t xml:space="preserve">Habilidad por mundo</t>
  </si>
  <si>
    <t xml:space="preserve">content/campaign.js · SKILL</t>
  </si>
  <si>
    <t xml:space="preserve">Mundo</t>
  </si>
  <si>
    <t xml:space="preserve">Esquiva</t>
  </si>
  <si>
    <t xml:space="preserve">Ráfaga (min-max)</t>
  </si>
  <si>
    <t xml:space="preserve">Ritmo especial ×</t>
  </si>
  <si>
    <t xml:space="preserve">1-2</t>
  </si>
  <si>
    <t xml:space="preserve">2-2</t>
  </si>
  <si>
    <t xml:space="preserve">2-3</t>
  </si>
  <si>
    <t xml:space="preserve">2-4</t>
  </si>
  <si>
    <t xml:space="preserve">w9</t>
  </si>
  <si>
    <t xml:space="preserve">Modo difícil (multiplicadores)</t>
  </si>
  <si>
    <t xml:space="preserve">core/game/constants.js · HARD</t>
  </si>
  <si>
    <t xml:space="preserve">hp</t>
  </si>
  <si>
    <t xml:space="preserve">every</t>
  </si>
  <si>
    <t xml:space="preserve">dodge</t>
  </si>
  <si>
    <t xml:space="preserve">Estrellas</t>
  </si>
  <si>
    <t xml:space="preserve">core/game/constants.js · STARS</t>
  </si>
  <si>
    <t xml:space="preserve">maxDamage = vida máx. perdida · par / parHard = segundos para la 3ª estrella</t>
  </si>
  <si>
    <t xml:space="preserve">maxDamage</t>
  </si>
  <si>
    <t xml:space="preserve">par</t>
  </si>
  <si>
    <t xml:space="preserve">parHard</t>
  </si>
  <si>
    <t xml:space="preserve">Supervivencia</t>
  </si>
  <si>
    <t xml:space="preserve">Oleadas, mini jefes y mejoras del avión de suministros</t>
  </si>
  <si>
    <t xml:space="preserve">Reglas de oleadas</t>
  </si>
  <si>
    <t xml:space="preserve">content/levels.js · SURVIVAL</t>
  </si>
  <si>
    <t xml:space="preserve">pause</t>
  </si>
  <si>
    <t xml:space="preserve">minSpawnDist</t>
  </si>
  <si>
    <t xml:space="preserve">maxEnemies</t>
  </si>
  <si>
    <t xml:space="preserve">SECRET_WAVE (jefe secreto)</t>
  </si>
  <si>
    <t xml:space="preserve">Mini jefe (cada 5 oleadas)</t>
  </si>
  <si>
    <t xml:space="preserve">content/survival.js · miniBossSpec</t>
  </si>
  <si>
    <t xml:space="preserve">Vida base</t>
  </si>
  <si>
    <t xml:space="preserve">Vida extra por mini jefe</t>
  </si>
  <si>
    <t xml:space="preserve">Velocidad × jefe original</t>
  </si>
  <si>
    <t xml:space="preserve">Escolta por mini jefe extra</t>
  </si>
  <si>
    <t xml:space="preserve">Vida jefe secreto (oleada 25)</t>
  </si>
  <si>
    <t xml:space="preserve">Mejoras (por nivel)</t>
  </si>
  <si>
    <t xml:space="preserve">content/upgrades.js · UPGRADES</t>
  </si>
  <si>
    <t xml:space="preserve">Mejora</t>
  </si>
  <si>
    <t xml:space="preserve">Efecto por nivel</t>
  </si>
  <si>
    <t xml:space="preserve">+1 VIDA MÁXIMA</t>
  </si>
  <si>
    <t xml:space="preserve">Vida máxima +</t>
  </si>
  <si>
    <t xml:space="preserve">RECARGA RÁPIDA</t>
  </si>
  <si>
    <t xml:space="preserve">Recarga −% por nivel</t>
  </si>
  <si>
    <t xml:space="preserve">Intervalo −% por nivel</t>
  </si>
  <si>
    <t xml:space="preserve">MÁS DAÑO</t>
  </si>
  <si>
    <t xml:space="preserve">Daño +% por nivel</t>
  </si>
  <si>
    <t xml:space="preserve">ESCUDO DE OLEADA</t>
  </si>
  <si>
    <t xml:space="preserve">Golpes bloqueados por nivel</t>
  </si>
  <si>
    <t xml:space="preserve">magnet</t>
  </si>
  <si>
    <t xml:space="preserve">IMÁN</t>
  </si>
  <si>
    <t xml:space="preserve">Radio base (casillas)</t>
  </si>
  <si>
    <t xml:space="preserve">Radio + por nivel</t>
  </si>
  <si>
    <t xml:space="preserve">TANQUE MÁS RÁPIDO</t>
  </si>
  <si>
    <t xml:space="preserve">Velocidad +% por nivel</t>
  </si>
  <si>
    <t xml:space="preserve">(todas)</t>
  </si>
  <si>
    <t xml:space="preserve">UPGRADE_MAX</t>
  </si>
  <si>
    <t xml:space="preserve">Nivel máximo</t>
  </si>
  <si>
    <t xml:space="preserve">Monedas</t>
  </si>
  <si>
    <t xml:space="preserve">Cómo se ganan las monedas de oro y cuánto cuesta cada cosa en «Mi Tanque»</t>
  </si>
  <si>
    <t xml:space="preserve">Ingresos</t>
  </si>
  <si>
    <t xml:space="preserve">core/game/ending.js · core/game/survival.js</t>
  </si>
  <si>
    <t xml:space="preserve">Fuente</t>
  </si>
  <si>
    <t xml:space="preserve">Cómo</t>
  </si>
  <si>
    <t xml:space="preserve">Partida rápida ganada</t>
  </si>
  <si>
    <t xml:space="preserve">QUICK_COIN, por victoria</t>
  </si>
  <si>
    <t xml:space="preserve">Oleada superada (× nº oleada)</t>
  </si>
  <si>
    <t xml:space="preserve">oleada n da n × este valor</t>
  </si>
  <si>
    <t xml:space="preserve">Estrella nueva de jefe</t>
  </si>
  <si>
    <t xml:space="preserve">por cada estrella nueva (normal y difícil)</t>
  </si>
  <si>
    <t xml:space="preserve">Tienda</t>
  </si>
  <si>
    <t xml:space="preserve">content/skins.js · pets.js · dances.js</t>
  </si>
  <si>
    <t xml:space="preserve">Los trofeos de jefe (modo difícil) no tienen precio y no aparecen aquí.</t>
  </si>
  <si>
    <t xml:space="preserve">Categoría</t>
  </si>
  <si>
    <t xml:space="preserve">Precio</t>
  </si>
  <si>
    <t xml:space="preserve">none</t>
  </si>
  <si>
    <t xml:space="preserve">Gorro</t>
  </si>
  <si>
    <t xml:space="preserve">SIN GORRO</t>
  </si>
  <si>
    <t xml:space="preserve">party</t>
  </si>
  <si>
    <t xml:space="preserve">GORRO DE FIESTA</t>
  </si>
  <si>
    <t xml:space="preserve">tophat</t>
  </si>
  <si>
    <t xml:space="preserve">CHISTERA</t>
  </si>
  <si>
    <t xml:space="preserve">crown</t>
  </si>
  <si>
    <t xml:space="preserve">CORONA</t>
  </si>
  <si>
    <t xml:space="preserve">pirate</t>
  </si>
  <si>
    <t xml:space="preserve">PIRATA</t>
  </si>
  <si>
    <t xml:space="preserve">cowboy</t>
  </si>
  <si>
    <t xml:space="preserve">VAQUERO</t>
  </si>
  <si>
    <t xml:space="preserve">viking</t>
  </si>
  <si>
    <t xml:space="preserve">VIKINGO</t>
  </si>
  <si>
    <t xml:space="preserve">chef</t>
  </si>
  <si>
    <t xml:space="preserve">CHEF</t>
  </si>
  <si>
    <t xml:space="preserve">propeller</t>
  </si>
  <si>
    <t xml:space="preserve">HÉLICE</t>
  </si>
  <si>
    <t xml:space="preserve">wizard</t>
  </si>
  <si>
    <t xml:space="preserve">MAGO</t>
  </si>
  <si>
    <t xml:space="preserve">cat</t>
  </si>
  <si>
    <t xml:space="preserve">OREJAS DE GATO</t>
  </si>
  <si>
    <t xml:space="preserve">santa</t>
  </si>
  <si>
    <t xml:space="preserve">GORRO DE NAVIDAD</t>
  </si>
  <si>
    <t xml:space="preserve">helmet</t>
  </si>
  <si>
    <t xml:space="preserve">CASCO MILITAR</t>
  </si>
  <si>
    <t xml:space="preserve">headphones</t>
  </si>
  <si>
    <t xml:space="preserve">AURICULARES</t>
  </si>
  <si>
    <t xml:space="preserve">flowers</t>
  </si>
  <si>
    <t xml:space="preserve">CORONA DE FLORES</t>
  </si>
  <si>
    <t xml:space="preserve">gold</t>
  </si>
  <si>
    <t xml:space="preserve">TANQUE DORADO</t>
  </si>
  <si>
    <t xml:space="preserve">p_default</t>
  </si>
  <si>
    <t xml:space="preserve">Pintura</t>
  </si>
  <si>
    <t xml:space="preserve">p_fire</t>
  </si>
  <si>
    <t xml:space="preserve">FUEGO</t>
  </si>
  <si>
    <t xml:space="preserve">p_forest</t>
  </si>
  <si>
    <t xml:space="preserve">BOSQUE</t>
  </si>
  <si>
    <t xml:space="preserve">p_night</t>
  </si>
  <si>
    <t xml:space="preserve">NOCHE</t>
  </si>
  <si>
    <t xml:space="preserve">p_bubble</t>
  </si>
  <si>
    <t xml:space="preserve">CHICLE</t>
  </si>
  <si>
    <t xml:space="preserve">p_mint</t>
  </si>
  <si>
    <t xml:space="preserve">MENTA</t>
  </si>
  <si>
    <t xml:space="preserve">p_snow</t>
  </si>
  <si>
    <t xml:space="preserve">GLACIAR</t>
  </si>
  <si>
    <t xml:space="preserve">p_lemon</t>
  </si>
  <si>
    <t xml:space="preserve">LIMÓN</t>
  </si>
  <si>
    <t xml:space="preserve">t_default</t>
  </si>
  <si>
    <t xml:space="preserve">Estela</t>
  </si>
  <si>
    <t xml:space="preserve">NORMAL</t>
  </si>
  <si>
    <t xml:space="preserve">t_rainbow</t>
  </si>
  <si>
    <t xml:space="preserve">ARCOÍRIS</t>
  </si>
  <si>
    <t xml:space="preserve">t_fire</t>
  </si>
  <si>
    <t xml:space="preserve">LLAMARADA</t>
  </si>
  <si>
    <t xml:space="preserve">t_stars</t>
  </si>
  <si>
    <t xml:space="preserve">ESTRELLAS</t>
  </si>
  <si>
    <t xml:space="preserve">t_bubbles</t>
  </si>
  <si>
    <t xml:space="preserve">BURBUJAS</t>
  </si>
  <si>
    <t xml:space="preserve">t_confetti</t>
  </si>
  <si>
    <t xml:space="preserve">CONFETI</t>
  </si>
  <si>
    <t xml:space="preserve">t_hearts</t>
  </si>
  <si>
    <t xml:space="preserve">CORAZONES</t>
  </si>
  <si>
    <t xml:space="preserve">t_electric</t>
  </si>
  <si>
    <t xml:space="preserve">ELÉCTRICA</t>
  </si>
  <si>
    <t xml:space="preserve">t_snow</t>
  </si>
  <si>
    <t xml:space="preserve">NEVADA</t>
  </si>
  <si>
    <t xml:space="preserve">t_shadow</t>
  </si>
  <si>
    <t xml:space="preserve">SOMBRA</t>
  </si>
  <si>
    <t xml:space="preserve">pet_none</t>
  </si>
  <si>
    <t xml:space="preserve">Mascota</t>
  </si>
  <si>
    <t xml:space="preserve">SIN MASCOTA</t>
  </si>
  <si>
    <t xml:space="preserve">pet_chick</t>
  </si>
  <si>
    <t xml:space="preserve">POLLITO</t>
  </si>
  <si>
    <t xml:space="preserve">pet_slime</t>
  </si>
  <si>
    <t xml:space="preserve">BABOSO</t>
  </si>
  <si>
    <t xml:space="preserve">pet_ghost</t>
  </si>
  <si>
    <t xml:space="preserve">FANTASMITA</t>
  </si>
  <si>
    <t xml:space="preserve">pet_drone</t>
  </si>
  <si>
    <t xml:space="preserve">DRON</t>
  </si>
  <si>
    <t xml:space="preserve">pet_bee</t>
  </si>
  <si>
    <t xml:space="preserve">ABEJITA</t>
  </si>
  <si>
    <t xml:space="preserve">pet_ufo</t>
  </si>
  <si>
    <t xml:space="preserve">MINI OVNI</t>
  </si>
  <si>
    <t xml:space="preserve">pet_dino</t>
  </si>
  <si>
    <t xml:space="preserve">DINO</t>
  </si>
  <si>
    <t xml:space="preserve">d_rocket</t>
  </si>
  <si>
    <t xml:space="preserve">Baile</t>
  </si>
  <si>
    <t xml:space="preserve">COHETE</t>
  </si>
  <si>
    <t xml:space="preserve">d_spin</t>
  </si>
  <si>
    <t xml:space="preserve">TORNADO</t>
  </si>
  <si>
    <t xml:space="preserve">d_flip</t>
  </si>
  <si>
    <t xml:space="preserve">VOLTERETA</t>
  </si>
  <si>
    <t xml:space="preserve">d_boing</t>
  </si>
  <si>
    <t xml:space="preserve">BOING</t>
  </si>
  <si>
    <t xml:space="preserve">d_heli</t>
  </si>
  <si>
    <t xml:space="preserve">HELICÓPTERO</t>
  </si>
  <si>
    <t xml:space="preserve">d_fireworks</t>
  </si>
  <si>
    <t xml:space="preserve">FUEGOS ARTIFICIALES</t>
  </si>
  <si>
    <t xml:space="preserve">d_disco</t>
  </si>
  <si>
    <t xml:space="preserve">DISCO</t>
  </si>
  <si>
    <t xml:space="preserve">Resumen (calculado)</t>
  </si>
  <si>
    <t xml:space="preserve">fórmulas</t>
  </si>
  <si>
    <t xml:space="preserve">Artículos</t>
  </si>
  <si>
    <t xml:space="preserve">Coste total</t>
  </si>
  <si>
    <t xml:space="preserve">TOTAL (sin «Tanque dorado» 999)</t>
  </si>
  <si>
    <t xml:space="preserve">Oleadas seguidas para pagarlo todo</t>
  </si>
  <si>
    <t xml:space="preserve">MAGIC POKER</t>
  </si>
  <si>
    <t xml:space="preserve">Reglas</t>
  </si>
  <si>
    <t xml:space="preserve">Reglas base de la partida, ritmo y límites del editor de mazo</t>
  </si>
  <si>
    <t xml:space="preserve">Reglas de la partida</t>
  </si>
  <si>
    <t xml:space="preserve">lib/constants.ts</t>
  </si>
  <si>
    <t xml:space="preserve">Constante</t>
  </si>
  <si>
    <t xml:space="preserve">BOARD_SIZE</t>
  </si>
  <si>
    <t xml:space="preserve">STARTING_LIVES</t>
  </si>
  <si>
    <t xml:space="preserve">STARTING_HAND_SIZE</t>
  </si>
  <si>
    <t xml:space="preserve">CARDS_DRAWN_PER_ROUND</t>
  </si>
  <si>
    <t xml:space="preserve">JOKER_DRAW_BONUS</t>
  </si>
  <si>
    <t xml:space="preserve">COMBAT_REVEAL_SECONDS</t>
  </si>
  <si>
    <t xml:space="preserve">Ritmo (ms)</t>
  </si>
  <si>
    <t xml:space="preserve">lib/constants.ts · TIMINGS</t>
  </si>
  <si>
    <t xml:space="preserve">opponentThink</t>
  </si>
  <si>
    <t xml:space="preserve">opponentAfterPlay</t>
  </si>
  <si>
    <t xml:space="preserve">combatFlip</t>
  </si>
  <si>
    <t xml:space="preserve">combatResolve</t>
  </si>
  <si>
    <t xml:space="preserve">combatReveal</t>
  </si>
  <si>
    <t xml:space="preserve">sealMove</t>
  </si>
  <si>
    <t xml:space="preserve">Editor de mazo</t>
  </si>
  <si>
    <t xml:space="preserve">lib/deck.ts</t>
  </si>
  <si>
    <t xml:space="preserve">MAX_COPIES</t>
  </si>
  <si>
    <t xml:space="preserve">MAX_SEALS</t>
  </si>
  <si>
    <t xml:space="preserve">MAX_REMOVED</t>
  </si>
  <si>
    <t xml:space="preserve">DECK_SLOTS</t>
  </si>
  <si>
    <t xml:space="preserve">Cartas</t>
  </si>
  <si>
    <t xml:space="preserve">Valor de cada carta. Ataque: offsets relativos a la casilla de enfrente</t>
  </si>
  <si>
    <t xml:space="preserve">Valores de carta</t>
  </si>
  <si>
    <t xml:space="preserve">lib/game-utils.ts · RANKS</t>
  </si>
  <si>
    <t xml:space="preserve">Carta</t>
  </si>
  <si>
    <t xml:space="preserve">Tipo</t>
  </si>
  <si>
    <t xml:space="preserve">2</t>
  </si>
  <si>
    <t xml:space="preserve">Normal</t>
  </si>
  <si>
    <t xml:space="preserve">Frente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</si>
  <si>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</si>
  <si>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</si>
  <si>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</si>
  <si>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</si>
  <si>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</si>
  <si>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</si>
  <si>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</si>
  <si>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</si>
  <si>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J</t>
  </si>
  <si>
    <t xml:space="preserve">−1/0/+1, uno al azar</t>
  </si>
  <si>
    <t xml:space="preserve">Q</t>
  </si>
  <si>
    <t xml:space="preserve">−1 y +1</t>
  </si>
  <si>
    <t xml:space="preserve">K</t>
  </si>
  <si>
    <t xml:space="preserve">−1, 0 y +1</t>
  </si>
  <si>
    <t xml:space="preserve">A</t>
  </si>
  <si>
    <t xml:space="preserve">Limpia el tablero</t>
  </si>
  <si>
    <t xml:space="preserve">JOKER</t>
  </si>
  <si>
    <t xml:space="preserve">—</t>
  </si>
  <si>
    <t xml:space="preserve">JESTER</t>
  </si>
  <si>
    <t xml:space="preserve">Castillo</t>
  </si>
  <si>
    <t xml:space="preserve">Copia el ataque de enfrente</t>
  </si>
  <si>
    <t xml:space="preserve">TOWER</t>
  </si>
  <si>
    <t xml:space="preserve">BOMB</t>
  </si>
  <si>
    <t xml:space="preserve">SPY</t>
  </si>
  <si>
    <t xml:space="preserve">KNIGHT</t>
  </si>
  <si>
    <t xml:space="preserve">−2 y +2</t>
  </si>
  <si>
    <t xml:space="preserve">PRIESTESS</t>
  </si>
  <si>
    <t xml:space="preserve">DRAGON</t>
  </si>
  <si>
    <t xml:space="preserve">Legendaria</t>
  </si>
  <si>
    <t xml:space="preserve">HYDRA</t>
  </si>
  <si>
    <t xml:space="preserve">PHOENIX</t>
  </si>
  <si>
    <t xml:space="preserve">Saga de jefes: vidas, sello y revanchas</t>
  </si>
  <si>
    <t xml:space="preserve">lib/bosses.ts · BOSSES</t>
  </si>
  <si>
    <t xml:space="preserve">Sello</t>
  </si>
  <si>
    <t xml:space="preserve">Vidas</t>
  </si>
  <si>
    <t xml:space="preserve">drifter</t>
  </si>
  <si>
    <t xml:space="preserve">wall</t>
  </si>
  <si>
    <t xml:space="preserve">duelist</t>
  </si>
  <si>
    <t xml:space="preserve">double</t>
  </si>
  <si>
    <t xml:space="preserve">trickster</t>
  </si>
  <si>
    <t xml:space="preserve">shift</t>
  </si>
  <si>
    <t xml:space="preserve">thief</t>
  </si>
  <si>
    <t xml:space="preserve">swap</t>
  </si>
  <si>
    <t xml:space="preserve">matriarch</t>
  </si>
  <si>
    <t xml:space="preserve">life</t>
  </si>
  <si>
    <t xml:space="preserve">mirrorist</t>
  </si>
  <si>
    <t xml:space="preserve">mirror</t>
  </si>
  <si>
    <t xml:space="preserve">poisoner</t>
  </si>
  <si>
    <t xml:space="preserve">poison</t>
  </si>
  <si>
    <t xml:space="preserve">bard</t>
  </si>
  <si>
    <t xml:space="preserve">echo</t>
  </si>
  <si>
    <t xml:space="preserve">sailor</t>
  </si>
  <si>
    <t xml:space="preserve">anchor</t>
  </si>
  <si>
    <t xml:space="preserve">seer</t>
  </si>
  <si>
    <t xml:space="preserve">reveal</t>
  </si>
  <si>
    <t xml:space="preserve">sovereign (secreto)</t>
  </si>
  <si>
    <t xml:space="preserve">Revanchas y premios</t>
  </si>
  <si>
    <t xml:space="preserve">lib/bosses.ts</t>
  </si>
  <si>
    <t xml:space="preserve">BOSS_SEAL_COPIES (copias de su sello)</t>
  </si>
  <si>
    <t xml:space="preserve">MAX_REMATCH_LEVEL</t>
  </si>
  <si>
    <t xml:space="preserve">WINS_FOR_BACK (victorias para su dorso)</t>
  </si>
  <si>
    <t xml:space="preserve">Vidas extra revancha nivel 1-2</t>
  </si>
  <si>
    <t xml:space="preserve">Vidas extra revancha nivel 3+</t>
  </si>
  <si>
    <t xml:space="preserve">Jefes vencidos para abrir el editor</t>
  </si>
  <si>
    <t xml:space="preserve">Roguelike: mercader, cofres, desafíos y dureza de los jefes por piso</t>
  </si>
  <si>
    <t xml:space="preserve">Parámetros</t>
  </si>
  <si>
    <t xml:space="preserve">lib/castle.ts</t>
  </si>
  <si>
    <t xml:space="preserve">LEGENDARY_FROM_STAGE</t>
  </si>
  <si>
    <t xml:space="preserve">LEGENDARY_CHANCE</t>
  </si>
  <si>
    <t xml:space="preserve">Prob. ofrecer curación</t>
  </si>
  <si>
    <t xml:space="preserve">Prob. ofrecer carta</t>
  </si>
  <si>
    <t xml:space="preserve">Bonus de «upgrade» (+valor)</t>
  </si>
  <si>
    <t xml:space="preserve">Purga: mín. cartas en mazo</t>
  </si>
  <si>
    <t xml:space="preserve">Purga: cartas quitadas</t>
  </si>
  <si>
    <t xml:space="preserve">CHEST_EVERY (pisos)</t>
  </si>
  <si>
    <t xml:space="preserve">Cofre: prob. legendaria</t>
  </si>
  <si>
    <t xml:space="preserve">Cofre: prob. rara</t>
  </si>
  <si>
    <t xml:space="preserve">Vidas base del jefe</t>
  </si>
  <si>
    <t xml:space="preserve">Pisos por +1 vida de jefe</t>
  </si>
  <si>
    <t xml:space="preserve">Nivel jefe: pisos 0-3</t>
  </si>
  <si>
    <t xml:space="preserve">Nivel jefe: pisos 4-7</t>
  </si>
  <si>
    <t xml:space="preserve">Nivel jefe: pisos 8+</t>
  </si>
  <si>
    <t xml:space="preserve">Desafío fragile: vidas menos</t>
  </si>
  <si>
    <t xml:space="preserve">Desafío short: cartas quitadas</t>
  </si>
  <si>
    <t xml:space="preserve">Desafío fierce: vida extra jefe</t>
  </si>
  <si>
    <t xml:space="preserve">Jefe por piso (calculado)</t>
  </si>
  <si>
    <t xml:space="preserve">Piso</t>
  </si>
  <si>
    <t xml:space="preserve">Vidas jefe</t>
  </si>
  <si>
    <t xml:space="preserve">Nivel</t>
  </si>
  <si>
    <t xml:space="preserve">Cofre</t>
  </si>
  <si>
    <t xml:space="preserve">Bosque</t>
  </si>
  <si>
    <t xml:space="preserve">Duelos aleatorios del bosque: niveles, vidas y arquetipos</t>
  </si>
  <si>
    <t xml:space="preserve">Niveles</t>
  </si>
  <si>
    <t xml:space="preserve">lib/forest.ts</t>
  </si>
  <si>
    <t xml:space="preserve">Peso (de 100)</t>
  </si>
  <si>
    <t xml:space="preserve">Vidas rival</t>
  </si>
  <si>
    <t xml:space="preserve">Copias de sello</t>
  </si>
  <si>
    <t xml:space="preserve">Copias carta castillo</t>
  </si>
  <si>
    <t xml:space="preserve">normal</t>
  </si>
  <si>
    <t xml:space="preserve">hard</t>
  </si>
  <si>
    <t xml:space="preserve">nightmare</t>
  </si>
  <si>
    <t xml:space="preserve">unique</t>
  </si>
  <si>
    <t xml:space="preserve">Arquetipos</t>
  </si>
  <si>
    <t xml:space="preserve">lib/forest.ts · ARCHETYPES</t>
  </si>
  <si>
    <t xml:space="preserve">Estilo</t>
  </si>
  <si>
    <t xml:space="preserve">Sellos</t>
  </si>
  <si>
    <t xml:space="preserve">woodcutter</t>
  </si>
  <si>
    <t xml:space="preserve">defensive</t>
  </si>
  <si>
    <t xml:space="preserve">shield, anchor</t>
  </si>
  <si>
    <t xml:space="preserve">shepherd</t>
  </si>
  <si>
    <t xml:space="preserve">life, shield</t>
  </si>
  <si>
    <t xml:space="preserve">huntress</t>
  </si>
  <si>
    <t xml:space="preserve">aggressive</t>
  </si>
  <si>
    <t xml:space="preserve">double, reveal</t>
  </si>
  <si>
    <t xml:space="preserve">goblin</t>
  </si>
  <si>
    <t xml:space="preserve">troll</t>
  </si>
  <si>
    <t xml:space="preserve">shift, echo, swap</t>
  </si>
  <si>
    <t xml:space="preserve">hermit</t>
  </si>
  <si>
    <t xml:space="preserve">bandit</t>
  </si>
  <si>
    <t xml:space="preserve">swap, double</t>
  </si>
  <si>
    <t xml:space="preserve">executioner</t>
  </si>
  <si>
    <t xml:space="preserve">double, poison</t>
  </si>
  <si>
    <t xml:space="preserve">witch</t>
  </si>
  <si>
    <t xml:space="preserve">poison, mirror</t>
  </si>
  <si>
    <t xml:space="preserve">gravedigger</t>
  </si>
  <si>
    <t xml:space="preserve">anchor, shield, life</t>
  </si>
  <si>
    <t xml:space="preserve">wolf</t>
  </si>
  <si>
    <t xml:space="preserve">double, swap, reveal</t>
  </si>
  <si>
    <t xml:space="preserve">scarecrow</t>
  </si>
  <si>
    <t xml:space="preserve">shift, mirror, echo</t>
  </si>
  <si>
    <t xml:space="preserve">mourner</t>
  </si>
  <si>
    <t xml:space="preserve">poison, echo, life</t>
  </si>
  <si>
    <t xml:space="preserve">prince</t>
  </si>
  <si>
    <t xml:space="preserve">J ×3</t>
  </si>
  <si>
    <t xml:space="preserve">queen</t>
  </si>
  <si>
    <t xml:space="preserve">mirror, shift</t>
  </si>
  <si>
    <t xml:space="preserve">Q ×3</t>
  </si>
  <si>
    <t xml:space="preserve">king</t>
  </si>
  <si>
    <t xml:space="preserve">K ×3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</si>
</sst>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##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430"/>
      <name val="Arial"/>
      <family val="0"/>
      <charset val="1"/>
    </font>
    <font>
      <sz val="10"/>
      <color rgb="FF8A8F9C"/>
      <name val="Arial"/>
      <family val="0"/>
      <charset val="1"/>
    </font>
    <font>
      <b val="true"/>
      <sz val="11"/>
      <color rgb="FF1F2430"/>
      <name val="Arial"/>
      <family val="0"/>
      <charset val="1"/>
    </font>
    <font>
      <sz val="10"/>
      <color rgb="FF1F2430"/>
      <name val="Arial"/>
      <family val="0"/>
      <charset val="1"/>
    </font>
    <font>
      <b val="true"/>
      <sz val="10"/>
      <color rgb="FF1F24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EA5A0"/>
      <name val="Arial"/>
      <family val="0"/>
      <charset val="1"/>
    </font>
    <font>
      <b val="true"/>
      <sz val="18"/>
      <color rgb="FF1F2430"/>
      <name val="Arial"/>
      <family val="0"/>
      <charset val="1"/>
    </font>
    <font>
      <sz val="9"/>
      <color rgb="FF8A8F9C"/>
      <name val="Arial"/>
      <family val="0"/>
      <charset val="1"/>
    </font>
    <font>
      <i val="true"/>
      <sz val="8"/>
      <color rgb="FF8A8F9C"/>
      <name val="Arial"/>
      <family val="0"/>
      <charset val="1"/>
    </font>
    <font>
      <b val="true"/>
      <sz val="8"/>
      <color rgb="FF8A8F9C"/>
      <name val="Arial"/>
      <family val="0"/>
      <charset val="1"/>
    </font>
    <font>
      <b val="true"/>
      <sz val="8"/>
      <color rgb="FF0EA5A0"/>
      <name val="Arial"/>
      <family val="0"/>
      <charset val="1"/>
    </font>
    <font>
      <sz val="8"/>
      <color rgb="FF8A8F9C"/>
      <name val="Arial"/>
      <family val="0"/>
      <charset val="1"/>
    </font>
    <font>
      <b val="true"/>
      <sz val="9"/>
      <color rgb="FF8E0DFF"/>
      <name val="Arial"/>
      <family val="0"/>
      <charset val="1"/>
    </font>
    <font>
      <b val="true"/>
      <sz val="8"/>
      <color rgb="FF8E0D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A5A0"/>
        <bgColor rgb="FF008080"/>
      </patternFill>
    </fill>
    <fill>
      <patternFill patternType="solid">
        <fgColor rgb="FFE3F7F6"/>
        <bgColor rgb="FFE4E6EB"/>
      </patternFill>
    </fill>
    <fill>
      <patternFill patternType="solid">
        <fgColor rgb="FF8E0DFF"/>
        <bgColor rgb="FF800080"/>
      </patternFill>
    </fill>
    <fill>
      <patternFill patternType="solid">
        <fgColor rgb="FFF1E6FF"/>
        <bgColor rgb="FFE4E6E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EA5A0"/>
      </bottom>
      <diagonal/>
    </border>
    <border diagonalUp="false" diagonalDown="false">
      <left/>
      <right/>
      <top/>
      <bottom style="thin">
        <color rgb="FFE4E6EB"/>
      </bottom>
      <diagonal/>
    </border>
    <border diagonalUp="false" diagonalDown="false">
      <left/>
      <right/>
      <top/>
      <bottom style="medium">
        <color rgb="FF8E0D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E0DFF"/>
      <rgbColor rgb="FF008080"/>
      <rgbColor rgb="FFC0C0C0"/>
      <rgbColor rgb="FF808080"/>
      <rgbColor rgb="FF9999FF"/>
      <rgbColor rgb="FF993366"/>
      <rgbColor rgb="FFF1E6FF"/>
      <rgbColor rgb="FFE3F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6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8F9C"/>
      <rgbColor rgb="FF003366"/>
      <rgbColor rgb="FF0EA5A0"/>
      <rgbColor rgb="FF003300"/>
      <rgbColor rgb="FF333300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8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23.85" hidden="false" customHeight="false" outlineLevel="0" collapsed="false">
      <c r="B6" s="5" t="s">
        <v>3</v>
      </c>
      <c r="C6" s="4" t="s">
        <v>4</v>
      </c>
    </row>
    <row r="7" customFormat="false" ht="23.85" hidden="false" customHeight="false" outlineLevel="0" collapsed="false">
      <c r="B7" s="5" t="s">
        <v>5</v>
      </c>
      <c r="C7" s="4" t="s">
        <v>6</v>
      </c>
    </row>
    <row r="8" customFormat="false" ht="15" hidden="false" customHeight="false" outlineLevel="0" collapsed="false">
      <c r="B8" s="5" t="s">
        <v>7</v>
      </c>
      <c r="C8" s="4" t="s">
        <v>8</v>
      </c>
    </row>
    <row r="9" customFormat="false" ht="15" hidden="false" customHeight="false" outlineLevel="0" collapsed="false">
      <c r="B9" s="5" t="s">
        <v>9</v>
      </c>
      <c r="C9" s="4" t="s">
        <v>10</v>
      </c>
    </row>
    <row r="10" customFormat="false" ht="15" hidden="false" customHeight="false" outlineLevel="0" collapsed="false">
      <c r="B10" s="5" t="s">
        <v>11</v>
      </c>
      <c r="C10" s="4" t="s">
        <v>12</v>
      </c>
    </row>
    <row r="11" customFormat="false" ht="15" hidden="false" customHeight="false" outlineLevel="0" collapsed="false">
      <c r="B11" s="3"/>
      <c r="C11" s="4"/>
    </row>
    <row r="12" customFormat="false" ht="15" hidden="false" customHeight="false" outlineLevel="0" collapsed="false">
      <c r="B12" s="3" t="s">
        <v>13</v>
      </c>
      <c r="C12" s="4"/>
    </row>
    <row r="13" customFormat="false" ht="19.5" hidden="false" customHeight="true" outlineLevel="0" collapsed="false">
      <c r="B13" s="6" t="s">
        <v>14</v>
      </c>
      <c r="C13" s="7" t="s">
        <v>15</v>
      </c>
      <c r="D13" s="8" t="n">
        <v>3</v>
      </c>
    </row>
    <row r="14" customFormat="false" ht="19.5" hidden="false" customHeight="true" outlineLevel="0" collapsed="false">
      <c r="B14" s="9" t="s">
        <v>16</v>
      </c>
      <c r="C14" s="7" t="s">
        <v>17</v>
      </c>
      <c r="D14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1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19</v>
      </c>
    </row>
    <row r="4" customFormat="false" ht="15" hidden="false" customHeight="false" outlineLevel="0" collapsed="false">
      <c r="B4" s="13" t="s">
        <v>20</v>
      </c>
    </row>
    <row r="6" customFormat="false" ht="15" hidden="false" customHeight="false" outlineLevel="0" collapsed="false">
      <c r="B6" s="14" t="s">
        <v>21</v>
      </c>
      <c r="G6" s="15" t="s">
        <v>22</v>
      </c>
    </row>
    <row r="7" customFormat="false" ht="19.5" hidden="false" customHeight="true" outlineLevel="0" collapsed="false">
      <c r="B7" s="16" t="s">
        <v>23</v>
      </c>
      <c r="C7" s="17" t="s">
        <v>24</v>
      </c>
      <c r="D7" s="18" t="s">
        <v>25</v>
      </c>
      <c r="E7" s="18" t="s">
        <v>26</v>
      </c>
      <c r="F7" s="18" t="s">
        <v>27</v>
      </c>
      <c r="G7" s="18" t="s">
        <v>28</v>
      </c>
    </row>
    <row r="8" customFormat="false" ht="18" hidden="false" customHeight="true" outlineLevel="0" collapsed="false">
      <c r="B8" s="19" t="s">
        <v>29</v>
      </c>
      <c r="C8" s="20" t="s">
        <v>30</v>
      </c>
      <c r="D8" s="21" t="n">
        <v>6</v>
      </c>
      <c r="E8" s="21" t="n">
        <v>3.4</v>
      </c>
      <c r="F8" s="21" t="n">
        <v>0.36</v>
      </c>
      <c r="G8" s="21" t="s">
        <v>31</v>
      </c>
    </row>
    <row r="9" customFormat="false" ht="18" hidden="false" customHeight="true" outlineLevel="0" collapsed="false">
      <c r="B9" s="19" t="s">
        <v>32</v>
      </c>
      <c r="C9" s="20" t="s">
        <v>33</v>
      </c>
      <c r="D9" s="21" t="n">
        <v>6</v>
      </c>
      <c r="E9" s="21" t="n">
        <v>3.1</v>
      </c>
      <c r="F9" s="21" t="n">
        <v>0.36</v>
      </c>
      <c r="G9" s="21" t="s">
        <v>31</v>
      </c>
    </row>
    <row r="10" customFormat="false" ht="18" hidden="false" customHeight="true" outlineLevel="0" collapsed="false">
      <c r="B10" s="19" t="s">
        <v>34</v>
      </c>
      <c r="C10" s="20" t="s">
        <v>35</v>
      </c>
      <c r="D10" s="21" t="n">
        <v>99</v>
      </c>
      <c r="E10" s="21" t="n">
        <v>0</v>
      </c>
      <c r="F10" s="21" t="n">
        <v>0.36</v>
      </c>
      <c r="G10" s="21" t="s">
        <v>31</v>
      </c>
    </row>
    <row r="11" customFormat="false" ht="18" hidden="false" customHeight="true" outlineLevel="0" collapsed="false">
      <c r="B11" s="19" t="s">
        <v>36</v>
      </c>
      <c r="C11" s="20" t="s">
        <v>37</v>
      </c>
      <c r="D11" s="21" t="n">
        <v>3</v>
      </c>
      <c r="E11" s="21" t="n">
        <v>3</v>
      </c>
      <c r="F11" s="21" t="n">
        <v>0.36</v>
      </c>
      <c r="G11" s="21" t="s">
        <v>31</v>
      </c>
    </row>
    <row r="12" customFormat="false" ht="18" hidden="false" customHeight="true" outlineLevel="0" collapsed="false">
      <c r="B12" s="19" t="s">
        <v>38</v>
      </c>
      <c r="C12" s="20" t="s">
        <v>39</v>
      </c>
      <c r="D12" s="21" t="n">
        <v>2</v>
      </c>
      <c r="E12" s="21" t="n">
        <v>3.9</v>
      </c>
      <c r="F12" s="21" t="n">
        <v>0.34</v>
      </c>
      <c r="G12" s="21" t="s">
        <v>31</v>
      </c>
    </row>
    <row r="13" customFormat="false" ht="18" hidden="false" customHeight="true" outlineLevel="0" collapsed="false">
      <c r="B13" s="19" t="s">
        <v>40</v>
      </c>
      <c r="C13" s="20" t="s">
        <v>33</v>
      </c>
      <c r="D13" s="21" t="n">
        <v>6</v>
      </c>
      <c r="E13" s="21" t="n">
        <v>2.6</v>
      </c>
      <c r="F13" s="21" t="n">
        <v>0.4</v>
      </c>
      <c r="G13" s="21" t="s">
        <v>31</v>
      </c>
    </row>
    <row r="16" customFormat="false" ht="15" hidden="false" customHeight="false" outlineLevel="0" collapsed="false">
      <c r="B16" s="14" t="s">
        <v>41</v>
      </c>
      <c r="H16" s="15" t="s">
        <v>42</v>
      </c>
    </row>
    <row r="17" customFormat="false" ht="19.5" hidden="false" customHeight="true" outlineLevel="0" collapsed="false">
      <c r="B17" s="16" t="s">
        <v>23</v>
      </c>
      <c r="C17" s="17" t="s">
        <v>24</v>
      </c>
      <c r="D17" s="18" t="s">
        <v>43</v>
      </c>
      <c r="E17" s="18" t="s">
        <v>25</v>
      </c>
      <c r="F17" s="18" t="s">
        <v>26</v>
      </c>
      <c r="G17" s="18" t="s">
        <v>27</v>
      </c>
      <c r="H17" s="18" t="s">
        <v>28</v>
      </c>
    </row>
    <row r="18" customFormat="false" ht="18" hidden="false" customHeight="true" outlineLevel="0" collapsed="false">
      <c r="B18" s="19" t="s">
        <v>36</v>
      </c>
      <c r="C18" s="20" t="s">
        <v>37</v>
      </c>
      <c r="D18" s="21" t="n">
        <v>1</v>
      </c>
      <c r="E18" s="21" t="n">
        <v>2</v>
      </c>
      <c r="F18" s="21" t="n">
        <v>3</v>
      </c>
      <c r="G18" s="21" t="n">
        <v>0.36</v>
      </c>
      <c r="H18" s="21" t="s">
        <v>31</v>
      </c>
    </row>
    <row r="19" customFormat="false" ht="18" hidden="false" customHeight="true" outlineLevel="0" collapsed="false">
      <c r="B19" s="19" t="s">
        <v>38</v>
      </c>
      <c r="C19" s="20" t="s">
        <v>39</v>
      </c>
      <c r="D19" s="21" t="n">
        <v>3</v>
      </c>
      <c r="E19" s="21" t="n">
        <v>2</v>
      </c>
      <c r="F19" s="21" t="n">
        <v>3.9</v>
      </c>
      <c r="G19" s="21" t="n">
        <v>0.34</v>
      </c>
      <c r="H19" s="21" t="s">
        <v>31</v>
      </c>
    </row>
    <row r="20" customFormat="false" ht="18" hidden="false" customHeight="true" outlineLevel="0" collapsed="false">
      <c r="B20" s="19" t="s">
        <v>44</v>
      </c>
      <c r="C20" s="20" t="s">
        <v>45</v>
      </c>
      <c r="D20" s="21" t="n">
        <v>4</v>
      </c>
      <c r="E20" s="21" t="n">
        <v>1</v>
      </c>
      <c r="F20" s="21" t="n">
        <v>2.8</v>
      </c>
      <c r="G20" s="21" t="n">
        <v>0.36</v>
      </c>
      <c r="H20" s="21" t="s">
        <v>44</v>
      </c>
    </row>
    <row r="21" customFormat="false" ht="18" hidden="false" customHeight="true" outlineLevel="0" collapsed="false">
      <c r="B21" s="19" t="s">
        <v>46</v>
      </c>
      <c r="C21" s="20" t="s">
        <v>47</v>
      </c>
      <c r="D21" s="21" t="n">
        <v>6</v>
      </c>
      <c r="E21" s="21" t="n">
        <v>2</v>
      </c>
      <c r="F21" s="21" t="n">
        <v>3.2</v>
      </c>
      <c r="G21" s="21" t="n">
        <v>0.36</v>
      </c>
      <c r="H21" s="21" t="s">
        <v>48</v>
      </c>
    </row>
    <row r="22" customFormat="false" ht="18" hidden="false" customHeight="true" outlineLevel="0" collapsed="false">
      <c r="B22" s="19" t="s">
        <v>49</v>
      </c>
      <c r="C22" s="20" t="s">
        <v>50</v>
      </c>
      <c r="D22" s="21" t="n">
        <v>7</v>
      </c>
      <c r="E22" s="21" t="n">
        <v>2</v>
      </c>
      <c r="F22" s="21" t="n">
        <v>2.4</v>
      </c>
      <c r="G22" s="21" t="n">
        <v>0.38</v>
      </c>
      <c r="H22" s="21" t="s">
        <v>31</v>
      </c>
    </row>
    <row r="23" customFormat="false" ht="18" hidden="false" customHeight="true" outlineLevel="0" collapsed="false">
      <c r="B23" s="19" t="s">
        <v>40</v>
      </c>
      <c r="C23" s="20" t="s">
        <v>33</v>
      </c>
      <c r="D23" s="21" t="n">
        <v>8</v>
      </c>
      <c r="E23" s="21" t="n">
        <v>4</v>
      </c>
      <c r="F23" s="21" t="n">
        <v>2.6</v>
      </c>
      <c r="G23" s="21" t="n">
        <v>0.42</v>
      </c>
      <c r="H23" s="2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M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13" min="7" style="0" width="10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51</v>
      </c>
    </row>
    <row r="4" customFormat="false" ht="15" hidden="false" customHeight="false" outlineLevel="0" collapsed="false">
      <c r="B4" s="13" t="s">
        <v>52</v>
      </c>
    </row>
    <row r="6" customFormat="false" ht="15" hidden="false" customHeight="false" outlineLevel="0" collapsed="false">
      <c r="B6" s="14" t="s">
        <v>51</v>
      </c>
      <c r="M6" s="15" t="s">
        <v>53</v>
      </c>
    </row>
    <row r="7" customFormat="false" ht="19.5" hidden="false" customHeight="true" outlineLevel="0" collapsed="false">
      <c r="B7" s="16" t="s">
        <v>23</v>
      </c>
      <c r="C7" s="18" t="s">
        <v>54</v>
      </c>
      <c r="D7" s="18" t="s">
        <v>55</v>
      </c>
      <c r="E7" s="18" t="s">
        <v>56</v>
      </c>
      <c r="F7" s="18" t="s">
        <v>57</v>
      </c>
      <c r="G7" s="18" t="s">
        <v>58</v>
      </c>
      <c r="H7" s="18" t="s">
        <v>59</v>
      </c>
      <c r="I7" s="18" t="s">
        <v>60</v>
      </c>
      <c r="J7" s="18" t="s">
        <v>61</v>
      </c>
      <c r="K7" s="18" t="s">
        <v>62</v>
      </c>
      <c r="L7" s="18" t="s">
        <v>63</v>
      </c>
      <c r="M7" s="18" t="s">
        <v>64</v>
      </c>
    </row>
    <row r="8" customFormat="false" ht="18" hidden="false" customHeight="true" outlineLevel="0" collapsed="false">
      <c r="B8" s="19" t="s">
        <v>31</v>
      </c>
      <c r="C8" s="21" t="n">
        <v>1</v>
      </c>
      <c r="D8" s="21" t="n">
        <v>3</v>
      </c>
      <c r="E8" s="21" t="n">
        <v>2</v>
      </c>
      <c r="F8" s="21" t="n">
        <v>0.1</v>
      </c>
      <c r="G8" s="21" t="n">
        <v>10</v>
      </c>
      <c r="H8" s="21" t="n">
        <v>1</v>
      </c>
      <c r="I8" s="21" t="n">
        <v>12</v>
      </c>
      <c r="J8" s="21" t="n">
        <v>1</v>
      </c>
      <c r="K8" s="21" t="n">
        <v>0.14</v>
      </c>
      <c r="L8" s="21" t="n">
        <v>0.24</v>
      </c>
      <c r="M8" s="21" t="n">
        <v>0.62</v>
      </c>
    </row>
    <row r="9" customFormat="false" ht="18" hidden="false" customHeight="true" outlineLevel="0" collapsed="false">
      <c r="B9" s="19" t="s">
        <v>65</v>
      </c>
      <c r="C9" s="21" t="n">
        <v>0.85</v>
      </c>
      <c r="D9" s="21" t="n">
        <v>4</v>
      </c>
      <c r="E9" s="21" t="n">
        <v>2.4</v>
      </c>
      <c r="F9" s="21" t="n">
        <v>0.15</v>
      </c>
      <c r="G9" s="21" t="n">
        <v>9</v>
      </c>
      <c r="H9" s="21" t="n">
        <v>1</v>
      </c>
      <c r="I9" s="21" t="n">
        <v>13</v>
      </c>
      <c r="J9" s="21" t="n">
        <v>1</v>
      </c>
      <c r="K9" s="21" t="n">
        <v>0.14</v>
      </c>
      <c r="L9" s="21" t="n">
        <v>0.34</v>
      </c>
      <c r="M9" s="21" t="n">
        <v>1.15</v>
      </c>
    </row>
    <row r="10" customFormat="false" ht="18" hidden="false" customHeight="true" outlineLevel="0" collapsed="false">
      <c r="B10" s="19" t="s">
        <v>66</v>
      </c>
      <c r="C10" s="21" t="n">
        <v>1.4</v>
      </c>
      <c r="D10" s="21" t="n">
        <v>2</v>
      </c>
      <c r="E10" s="21" t="n">
        <v>2.8</v>
      </c>
      <c r="F10" s="21" t="n">
        <v>0.25</v>
      </c>
      <c r="G10" s="21" t="n">
        <v>9</v>
      </c>
      <c r="H10" s="21" t="n">
        <v>1</v>
      </c>
      <c r="I10" s="21" t="n">
        <v>10</v>
      </c>
      <c r="J10" s="21" t="n">
        <v>1</v>
      </c>
      <c r="K10" s="21" t="n">
        <v>0.14</v>
      </c>
      <c r="L10" s="21" t="n">
        <v>0.2</v>
      </c>
      <c r="M10" s="21" t="n">
        <v>0.58</v>
      </c>
    </row>
    <row r="11" customFormat="false" ht="18" hidden="false" customHeight="true" outlineLevel="0" collapsed="false">
      <c r="B11" s="19" t="s">
        <v>44</v>
      </c>
      <c r="C11" s="21" t="n">
        <v>2.4</v>
      </c>
      <c r="D11" s="21" t="n">
        <v>1</v>
      </c>
      <c r="E11" s="21" t="n">
        <v>2.4</v>
      </c>
      <c r="F11" s="21" t="n">
        <v>0.6</v>
      </c>
      <c r="G11" s="21" t="n">
        <v>16</v>
      </c>
      <c r="H11" s="21" t="n">
        <v>1</v>
      </c>
      <c r="I11" s="21" t="n">
        <v>16</v>
      </c>
      <c r="J11" s="21" t="n">
        <v>1</v>
      </c>
      <c r="K11" s="21" t="n">
        <v>0.14</v>
      </c>
      <c r="L11" s="21" t="n">
        <v>0.2</v>
      </c>
      <c r="M11" s="21" t="n">
        <v>0.95</v>
      </c>
    </row>
    <row r="12" customFormat="false" ht="18" hidden="false" customHeight="true" outlineLevel="0" collapsed="false">
      <c r="B12" s="19" t="s">
        <v>48</v>
      </c>
      <c r="C12" s="21" t="n">
        <v>1.1</v>
      </c>
      <c r="D12" s="21" t="n">
        <v>2</v>
      </c>
      <c r="E12" s="21" t="n">
        <v>2.4</v>
      </c>
      <c r="F12" s="21" t="n">
        <v>0.15</v>
      </c>
      <c r="G12" s="21" t="n">
        <v>9.5</v>
      </c>
      <c r="H12" s="21" t="n">
        <v>1</v>
      </c>
      <c r="I12" s="21" t="n">
        <v>11</v>
      </c>
      <c r="J12" s="21" t="n">
        <v>1</v>
      </c>
      <c r="K12" s="21" t="n">
        <v>0.14</v>
      </c>
      <c r="L12" s="21" t="n">
        <v>0.24</v>
      </c>
      <c r="M12" s="21" t="n">
        <v>0.62</v>
      </c>
    </row>
    <row r="13" customFormat="false" ht="18" hidden="false" customHeight="true" outlineLevel="0" collapsed="false">
      <c r="B13" s="19" t="s">
        <v>67</v>
      </c>
      <c r="C13" s="21" t="n">
        <v>0.95</v>
      </c>
      <c r="D13" s="21" t="n">
        <v>3</v>
      </c>
      <c r="E13" s="21" t="n">
        <v>2.4</v>
      </c>
      <c r="F13" s="21" t="n">
        <v>0.15</v>
      </c>
      <c r="G13" s="21" t="n">
        <v>9</v>
      </c>
      <c r="H13" s="21" t="n">
        <v>1</v>
      </c>
      <c r="I13" s="21" t="n">
        <v>13</v>
      </c>
      <c r="J13" s="21" t="n">
        <v>1</v>
      </c>
      <c r="K13" s="21" t="n">
        <v>0.14</v>
      </c>
      <c r="L13" s="21" t="n">
        <v>0.3</v>
      </c>
      <c r="M13" s="21" t="n">
        <v>0.82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0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68</v>
      </c>
    </row>
    <row r="4" customFormat="false" ht="15" hidden="false" customHeight="false" outlineLevel="0" collapsed="false">
      <c r="B4" s="13" t="s">
        <v>69</v>
      </c>
    </row>
    <row r="6" customFormat="false" ht="15" hidden="false" customHeight="false" outlineLevel="0" collapsed="false">
      <c r="B6" s="14" t="s">
        <v>70</v>
      </c>
      <c r="E6" s="15" t="s">
        <v>71</v>
      </c>
    </row>
    <row r="7" customFormat="false" ht="19.5" hidden="false" customHeight="true" outlineLevel="0" collapsed="false">
      <c r="B7" s="16" t="s">
        <v>23</v>
      </c>
      <c r="C7" s="17" t="s">
        <v>24</v>
      </c>
      <c r="D7" s="17" t="s">
        <v>72</v>
      </c>
      <c r="E7" s="18" t="s">
        <v>73</v>
      </c>
    </row>
    <row r="8" customFormat="false" ht="18" hidden="false" customHeight="true" outlineLevel="0" collapsed="false">
      <c r="B8" s="19" t="s">
        <v>74</v>
      </c>
      <c r="C8" s="20" t="s">
        <v>75</v>
      </c>
      <c r="D8" s="20" t="s">
        <v>74</v>
      </c>
      <c r="E8" s="21" t="n">
        <v>2</v>
      </c>
    </row>
    <row r="9" customFormat="false" ht="18" hidden="false" customHeight="true" outlineLevel="0" collapsed="false">
      <c r="B9" s="19" t="s">
        <v>76</v>
      </c>
      <c r="C9" s="20" t="s">
        <v>77</v>
      </c>
      <c r="D9" s="20" t="s">
        <v>78</v>
      </c>
      <c r="E9" s="21" t="n">
        <v>2</v>
      </c>
    </row>
    <row r="10" customFormat="false" ht="18" hidden="false" customHeight="true" outlineLevel="0" collapsed="false">
      <c r="B10" s="19" t="s">
        <v>79</v>
      </c>
      <c r="C10" s="20" t="s">
        <v>80</v>
      </c>
      <c r="D10" s="20" t="s">
        <v>79</v>
      </c>
      <c r="E10" s="21" t="n">
        <v>1</v>
      </c>
    </row>
    <row r="11" customFormat="false" ht="18" hidden="false" customHeight="true" outlineLevel="0" collapsed="false">
      <c r="B11" s="19" t="s">
        <v>81</v>
      </c>
      <c r="C11" s="20" t="s">
        <v>82</v>
      </c>
      <c r="D11" s="20" t="s">
        <v>81</v>
      </c>
      <c r="E11" s="21" t="n">
        <v>4</v>
      </c>
    </row>
    <row r="12" customFormat="false" ht="18" hidden="false" customHeight="true" outlineLevel="0" collapsed="false">
      <c r="B12" s="19" t="s">
        <v>81</v>
      </c>
      <c r="C12" s="20" t="s">
        <v>82</v>
      </c>
      <c r="D12" s="20" t="s">
        <v>83</v>
      </c>
      <c r="E12" s="21" t="n">
        <v>1.6</v>
      </c>
    </row>
    <row r="13" customFormat="false" ht="18" hidden="false" customHeight="true" outlineLevel="0" collapsed="false">
      <c r="B13" s="19" t="s">
        <v>84</v>
      </c>
      <c r="C13" s="20" t="s">
        <v>85</v>
      </c>
      <c r="D13" s="20" t="s">
        <v>84</v>
      </c>
      <c r="E13" s="21" t="n">
        <v>5</v>
      </c>
    </row>
    <row r="14" customFormat="false" ht="18" hidden="false" customHeight="true" outlineLevel="0" collapsed="false">
      <c r="B14" s="19" t="s">
        <v>86</v>
      </c>
      <c r="C14" s="20" t="s">
        <v>87</v>
      </c>
      <c r="D14" s="20" t="s">
        <v>86</v>
      </c>
      <c r="E14" s="21" t="n">
        <v>2.5</v>
      </c>
    </row>
    <row r="15" customFormat="false" ht="18" hidden="false" customHeight="true" outlineLevel="0" collapsed="false">
      <c r="B15" s="19" t="s">
        <v>88</v>
      </c>
      <c r="C15" s="20" t="s">
        <v>89</v>
      </c>
      <c r="D15" s="20" t="s">
        <v>88</v>
      </c>
      <c r="E15" s="21" t="n">
        <v>3</v>
      </c>
    </row>
    <row r="16" customFormat="false" ht="18" hidden="false" customHeight="true" outlineLevel="0" collapsed="false">
      <c r="B16" s="19" t="s">
        <v>88</v>
      </c>
      <c r="C16" s="20" t="s">
        <v>89</v>
      </c>
      <c r="D16" s="20" t="s">
        <v>62</v>
      </c>
      <c r="E16" s="21" t="n">
        <v>0.22</v>
      </c>
    </row>
    <row r="17" customFormat="false" ht="18" hidden="false" customHeight="true" outlineLevel="0" collapsed="false">
      <c r="B17" s="19" t="s">
        <v>90</v>
      </c>
      <c r="C17" s="20" t="s">
        <v>91</v>
      </c>
      <c r="D17" s="20" t="s">
        <v>92</v>
      </c>
      <c r="E17" s="21" t="n">
        <v>6</v>
      </c>
    </row>
    <row r="18" customFormat="false" ht="18" hidden="false" customHeight="true" outlineLevel="0" collapsed="false">
      <c r="B18" s="19" t="s">
        <v>90</v>
      </c>
      <c r="C18" s="20" t="s">
        <v>91</v>
      </c>
      <c r="D18" s="20" t="s">
        <v>93</v>
      </c>
      <c r="E18" s="21" t="n">
        <v>1.5</v>
      </c>
    </row>
    <row r="19" customFormat="false" ht="18" hidden="false" customHeight="true" outlineLevel="0" collapsed="false">
      <c r="B19" s="19" t="s">
        <v>94</v>
      </c>
      <c r="C19" s="20" t="s">
        <v>95</v>
      </c>
      <c r="D19" s="20" t="s">
        <v>96</v>
      </c>
      <c r="E19" s="21" t="n">
        <v>3</v>
      </c>
    </row>
    <row r="20" customFormat="false" ht="18" hidden="false" customHeight="true" outlineLevel="0" collapsed="false">
      <c r="B20" s="19" t="s">
        <v>94</v>
      </c>
      <c r="C20" s="20" t="s">
        <v>95</v>
      </c>
      <c r="D20" s="20" t="s">
        <v>97</v>
      </c>
      <c r="E20" s="21" t="n">
        <v>4</v>
      </c>
    </row>
    <row r="21" customFormat="false" ht="18" hidden="false" customHeight="true" outlineLevel="0" collapsed="false">
      <c r="B21" s="19" t="s">
        <v>94</v>
      </c>
      <c r="C21" s="20" t="s">
        <v>95</v>
      </c>
      <c r="D21" s="20" t="s">
        <v>98</v>
      </c>
      <c r="E21" s="21" t="n">
        <v>1.4</v>
      </c>
    </row>
    <row r="24" customFormat="false" ht="15" hidden="false" customHeight="false" outlineLevel="0" collapsed="false">
      <c r="B24" s="14" t="s">
        <v>99</v>
      </c>
      <c r="C24" s="15" t="s">
        <v>100</v>
      </c>
    </row>
    <row r="25" customFormat="false" ht="19.5" hidden="false" customHeight="true" outlineLevel="0" collapsed="false">
      <c r="B25" s="16" t="s">
        <v>72</v>
      </c>
      <c r="C25" s="18" t="s">
        <v>73</v>
      </c>
    </row>
    <row r="26" customFormat="false" ht="18" hidden="false" customHeight="true" outlineLevel="0" collapsed="false">
      <c r="B26" s="19" t="s">
        <v>101</v>
      </c>
      <c r="C26" s="21" t="n">
        <v>3</v>
      </c>
    </row>
    <row r="27" customFormat="false" ht="18" hidden="false" customHeight="true" outlineLevel="0" collapsed="false">
      <c r="B27" s="19" t="s">
        <v>102</v>
      </c>
      <c r="C27" s="21" t="n">
        <v>5</v>
      </c>
    </row>
    <row r="28" customFormat="false" ht="18" hidden="false" customHeight="true" outlineLevel="0" collapsed="false">
      <c r="B28" s="19" t="s">
        <v>103</v>
      </c>
      <c r="C28" s="21" t="n">
        <v>0.35</v>
      </c>
    </row>
    <row r="29" customFormat="false" ht="18" hidden="false" customHeight="true" outlineLevel="0" collapsed="false">
      <c r="B29" s="19" t="s">
        <v>104</v>
      </c>
      <c r="C29" s="21" t="n">
        <v>2</v>
      </c>
    </row>
    <row r="30" customFormat="false" ht="18" hidden="false" customHeight="true" outlineLevel="0" collapsed="false">
      <c r="B30" s="19" t="s">
        <v>105</v>
      </c>
      <c r="C30" s="21" t="n">
        <v>3.5</v>
      </c>
    </row>
    <row r="31" customFormat="false" ht="18" hidden="false" customHeight="true" outlineLevel="0" collapsed="false">
      <c r="B31" s="19" t="s">
        <v>106</v>
      </c>
      <c r="C31" s="21" t="n">
        <v>4</v>
      </c>
    </row>
    <row r="32" customFormat="false" ht="18" hidden="false" customHeight="true" outlineLevel="0" collapsed="false">
      <c r="B32" s="19" t="s">
        <v>107</v>
      </c>
      <c r="C32" s="21" t="n">
        <v>2.5</v>
      </c>
    </row>
    <row r="33" customFormat="false" ht="18" hidden="false" customHeight="true" outlineLevel="0" collapsed="false">
      <c r="B33" s="19" t="s">
        <v>108</v>
      </c>
      <c r="C33" s="21" t="n">
        <v>0.45</v>
      </c>
    </row>
    <row r="34" customFormat="false" ht="18" hidden="false" customHeight="true" outlineLevel="0" collapsed="false">
      <c r="B34" s="19" t="s">
        <v>109</v>
      </c>
      <c r="C34" s="21" t="n">
        <v>1.5</v>
      </c>
    </row>
    <row r="37" customFormat="false" ht="15" hidden="false" customHeight="false" outlineLevel="0" collapsed="false">
      <c r="B37" s="14" t="s">
        <v>110</v>
      </c>
      <c r="C37" s="15" t="s">
        <v>111</v>
      </c>
    </row>
    <row r="38" customFormat="false" ht="19.5" hidden="false" customHeight="true" outlineLevel="0" collapsed="false">
      <c r="B38" s="16" t="s">
        <v>112</v>
      </c>
      <c r="C38" s="18" t="s">
        <v>113</v>
      </c>
    </row>
    <row r="39" customFormat="false" ht="18" hidden="false" customHeight="true" outlineLevel="0" collapsed="false">
      <c r="B39" s="19" t="s">
        <v>74</v>
      </c>
      <c r="C39" s="21" t="n">
        <v>1</v>
      </c>
    </row>
    <row r="40" customFormat="false" ht="18" hidden="false" customHeight="true" outlineLevel="0" collapsed="false">
      <c r="B40" s="19" t="s">
        <v>76</v>
      </c>
      <c r="C40" s="2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J4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5" min="4" style="0" width="19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46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114</v>
      </c>
    </row>
    <row r="4" customFormat="false" ht="15" hidden="false" customHeight="false" outlineLevel="0" collapsed="false">
      <c r="B4" s="13" t="s">
        <v>115</v>
      </c>
    </row>
    <row r="6" customFormat="false" ht="15" hidden="false" customHeight="false" outlineLevel="0" collapsed="false">
      <c r="B6" s="14" t="s">
        <v>116</v>
      </c>
      <c r="J6" s="15" t="s">
        <v>117</v>
      </c>
    </row>
    <row r="7" customFormat="false" ht="19.5" hidden="false" customHeight="true" outlineLevel="0" collapsed="false">
      <c r="B7" s="16" t="s">
        <v>23</v>
      </c>
      <c r="C7" s="17" t="s">
        <v>118</v>
      </c>
      <c r="D7" s="18" t="s">
        <v>25</v>
      </c>
      <c r="E7" s="18" t="s">
        <v>26</v>
      </c>
      <c r="F7" s="18" t="s">
        <v>119</v>
      </c>
      <c r="G7" s="17" t="s">
        <v>120</v>
      </c>
      <c r="H7" s="18" t="s">
        <v>121</v>
      </c>
      <c r="I7" s="18" t="s">
        <v>122</v>
      </c>
      <c r="J7" s="18" t="s">
        <v>123</v>
      </c>
    </row>
    <row r="8" customFormat="false" ht="18" hidden="false" customHeight="true" outlineLevel="0" collapsed="false">
      <c r="B8" s="19" t="s">
        <v>124</v>
      </c>
      <c r="C8" s="20" t="s">
        <v>125</v>
      </c>
      <c r="D8" s="21" t="n">
        <v>9</v>
      </c>
      <c r="E8" s="21" t="n">
        <v>2.7</v>
      </c>
      <c r="F8" s="21" t="n">
        <v>1.85</v>
      </c>
      <c r="G8" s="20" t="s">
        <v>126</v>
      </c>
      <c r="H8" s="21" t="n">
        <v>0.9</v>
      </c>
      <c r="I8" s="21" t="n">
        <v>6.5</v>
      </c>
      <c r="J8" s="21" t="s">
        <v>127</v>
      </c>
    </row>
    <row r="9" customFormat="false" ht="18" hidden="false" customHeight="true" outlineLevel="0" collapsed="false">
      <c r="B9" s="19" t="s">
        <v>128</v>
      </c>
      <c r="C9" s="20" t="s">
        <v>129</v>
      </c>
      <c r="D9" s="21" t="n">
        <v>10</v>
      </c>
      <c r="E9" s="21" t="n">
        <v>2.6</v>
      </c>
      <c r="F9" s="21" t="n">
        <v>1.85</v>
      </c>
      <c r="G9" s="20" t="s">
        <v>130</v>
      </c>
      <c r="H9" s="21" t="n">
        <v>1.1</v>
      </c>
      <c r="I9" s="21" t="n">
        <v>8</v>
      </c>
      <c r="J9" s="21" t="s">
        <v>131</v>
      </c>
    </row>
    <row r="10" customFormat="false" ht="18" hidden="false" customHeight="true" outlineLevel="0" collapsed="false">
      <c r="B10" s="19" t="s">
        <v>132</v>
      </c>
      <c r="C10" s="20" t="s">
        <v>133</v>
      </c>
      <c r="D10" s="21" t="n">
        <v>11</v>
      </c>
      <c r="E10" s="21" t="n">
        <v>2.9</v>
      </c>
      <c r="F10" s="21" t="n">
        <v>1.85</v>
      </c>
      <c r="G10" s="20" t="s">
        <v>134</v>
      </c>
      <c r="H10" s="21" t="n">
        <v>1</v>
      </c>
      <c r="I10" s="21" t="n">
        <v>8</v>
      </c>
      <c r="J10" s="21" t="s">
        <v>135</v>
      </c>
    </row>
    <row r="11" customFormat="false" ht="18" hidden="false" customHeight="true" outlineLevel="0" collapsed="false">
      <c r="B11" s="19" t="s">
        <v>136</v>
      </c>
      <c r="C11" s="20" t="s">
        <v>137</v>
      </c>
      <c r="D11" s="21" t="n">
        <v>12</v>
      </c>
      <c r="E11" s="21" t="n">
        <v>2.7</v>
      </c>
      <c r="F11" s="21" t="n">
        <v>1.85</v>
      </c>
      <c r="G11" s="20" t="s">
        <v>138</v>
      </c>
      <c r="H11" s="21" t="n">
        <v>0.8</v>
      </c>
      <c r="I11" s="21" t="n">
        <v>6</v>
      </c>
      <c r="J11" s="21" t="s">
        <v>139</v>
      </c>
    </row>
    <row r="12" customFormat="false" ht="18" hidden="false" customHeight="true" outlineLevel="0" collapsed="false">
      <c r="B12" s="19" t="s">
        <v>140</v>
      </c>
      <c r="C12" s="20" t="s">
        <v>141</v>
      </c>
      <c r="D12" s="21" t="n">
        <v>13</v>
      </c>
      <c r="E12" s="21" t="n">
        <v>2.7</v>
      </c>
      <c r="F12" s="21" t="n">
        <v>1.85</v>
      </c>
      <c r="G12" s="20" t="s">
        <v>142</v>
      </c>
      <c r="H12" s="21" t="n">
        <v>0.6</v>
      </c>
      <c r="I12" s="21" t="n">
        <v>6.5</v>
      </c>
      <c r="J12" s="21" t="s">
        <v>143</v>
      </c>
    </row>
    <row r="13" customFormat="false" ht="18" hidden="false" customHeight="true" outlineLevel="0" collapsed="false">
      <c r="B13" s="19" t="s">
        <v>144</v>
      </c>
      <c r="C13" s="20" t="s">
        <v>145</v>
      </c>
      <c r="D13" s="21" t="n">
        <v>14</v>
      </c>
      <c r="E13" s="21" t="n">
        <v>2.9</v>
      </c>
      <c r="F13" s="21" t="n">
        <v>1.85</v>
      </c>
      <c r="G13" s="20" t="s">
        <v>146</v>
      </c>
      <c r="H13" s="21" t="n">
        <v>1</v>
      </c>
      <c r="I13" s="21" t="n">
        <v>11</v>
      </c>
      <c r="J13" s="21" t="s">
        <v>147</v>
      </c>
    </row>
    <row r="14" customFormat="false" ht="18" hidden="false" customHeight="true" outlineLevel="0" collapsed="false">
      <c r="B14" s="19" t="s">
        <v>148</v>
      </c>
      <c r="C14" s="20" t="s">
        <v>149</v>
      </c>
      <c r="D14" s="21" t="n">
        <v>15</v>
      </c>
      <c r="E14" s="21" t="n">
        <v>2.6</v>
      </c>
      <c r="F14" s="21" t="n">
        <v>1.85</v>
      </c>
      <c r="G14" s="20" t="s">
        <v>150</v>
      </c>
      <c r="H14" s="21" t="n">
        <v>0.7</v>
      </c>
      <c r="I14" s="21" t="n">
        <v>7.5</v>
      </c>
      <c r="J14" s="21" t="s">
        <v>151</v>
      </c>
    </row>
    <row r="15" customFormat="false" ht="18" hidden="false" customHeight="true" outlineLevel="0" collapsed="false">
      <c r="B15" s="19" t="s">
        <v>152</v>
      </c>
      <c r="C15" s="20" t="s">
        <v>153</v>
      </c>
      <c r="D15" s="21" t="n">
        <v>16</v>
      </c>
      <c r="E15" s="21" t="n">
        <v>2.9</v>
      </c>
      <c r="F15" s="21" t="n">
        <v>1.85</v>
      </c>
      <c r="G15" s="20" t="s">
        <v>154</v>
      </c>
      <c r="H15" s="21" t="n">
        <v>0.5</v>
      </c>
      <c r="I15" s="21" t="n">
        <v>7.5</v>
      </c>
      <c r="J15" s="21" t="s">
        <v>155</v>
      </c>
    </row>
    <row r="16" customFormat="false" ht="18" hidden="false" customHeight="true" outlineLevel="0" collapsed="false">
      <c r="B16" s="19" t="s">
        <v>156</v>
      </c>
      <c r="C16" s="20" t="s">
        <v>157</v>
      </c>
      <c r="D16" s="21" t="n">
        <v>18</v>
      </c>
      <c r="E16" s="21" t="n">
        <v>3</v>
      </c>
      <c r="F16" s="21" t="n">
        <v>1.85</v>
      </c>
      <c r="G16" s="20" t="s">
        <v>158</v>
      </c>
      <c r="H16" s="21" t="n">
        <v>0.8</v>
      </c>
      <c r="I16" s="21" t="n">
        <v>6</v>
      </c>
      <c r="J16" s="21" t="s">
        <v>159</v>
      </c>
    </row>
    <row r="19" customFormat="false" ht="15" hidden="false" customHeight="false" outlineLevel="0" collapsed="false">
      <c r="B19" s="14" t="s">
        <v>160</v>
      </c>
      <c r="E19" s="15" t="s">
        <v>161</v>
      </c>
    </row>
    <row r="20" customFormat="false" ht="19.5" hidden="false" customHeight="true" outlineLevel="0" collapsed="false">
      <c r="B20" s="16" t="s">
        <v>162</v>
      </c>
      <c r="C20" s="18" t="s">
        <v>163</v>
      </c>
      <c r="D20" s="18" t="s">
        <v>164</v>
      </c>
      <c r="E20" s="18" t="s">
        <v>165</v>
      </c>
    </row>
    <row r="21" customFormat="false" ht="18" hidden="false" customHeight="true" outlineLevel="0" collapsed="false">
      <c r="B21" s="19" t="s">
        <v>124</v>
      </c>
      <c r="C21" s="22" t="n">
        <v>0.08</v>
      </c>
      <c r="D21" s="21" t="s">
        <v>166</v>
      </c>
      <c r="E21" s="21" t="n">
        <v>1.35</v>
      </c>
    </row>
    <row r="22" customFormat="false" ht="18" hidden="false" customHeight="true" outlineLevel="0" collapsed="false">
      <c r="B22" s="19" t="s">
        <v>128</v>
      </c>
      <c r="C22" s="22" t="n">
        <v>0.12</v>
      </c>
      <c r="D22" s="21" t="s">
        <v>166</v>
      </c>
      <c r="E22" s="21" t="n">
        <v>1.3</v>
      </c>
    </row>
    <row r="23" customFormat="false" ht="18" hidden="false" customHeight="true" outlineLevel="0" collapsed="false">
      <c r="B23" s="19" t="s">
        <v>132</v>
      </c>
      <c r="C23" s="22" t="n">
        <v>0.16</v>
      </c>
      <c r="D23" s="21" t="s">
        <v>167</v>
      </c>
      <c r="E23" s="21" t="n">
        <v>1.2</v>
      </c>
    </row>
    <row r="24" customFormat="false" ht="18" hidden="false" customHeight="true" outlineLevel="0" collapsed="false">
      <c r="B24" s="19" t="s">
        <v>136</v>
      </c>
      <c r="C24" s="22" t="n">
        <v>0.2</v>
      </c>
      <c r="D24" s="21" t="s">
        <v>168</v>
      </c>
      <c r="E24" s="21" t="n">
        <v>1.15</v>
      </c>
    </row>
    <row r="25" customFormat="false" ht="18" hidden="false" customHeight="true" outlineLevel="0" collapsed="false">
      <c r="B25" s="19" t="s">
        <v>140</v>
      </c>
      <c r="C25" s="22" t="n">
        <v>0.24</v>
      </c>
      <c r="D25" s="21" t="s">
        <v>168</v>
      </c>
      <c r="E25" s="21" t="n">
        <v>1.1</v>
      </c>
    </row>
    <row r="26" customFormat="false" ht="18" hidden="false" customHeight="true" outlineLevel="0" collapsed="false">
      <c r="B26" s="19" t="s">
        <v>144</v>
      </c>
      <c r="C26" s="22" t="n">
        <v>0.28</v>
      </c>
      <c r="D26" s="21" t="s">
        <v>168</v>
      </c>
      <c r="E26" s="21" t="n">
        <v>1.05</v>
      </c>
    </row>
    <row r="27" customFormat="false" ht="18" hidden="false" customHeight="true" outlineLevel="0" collapsed="false">
      <c r="B27" s="19" t="s">
        <v>148</v>
      </c>
      <c r="C27" s="22" t="n">
        <v>0.32</v>
      </c>
      <c r="D27" s="21" t="s">
        <v>169</v>
      </c>
      <c r="E27" s="21" t="n">
        <v>1</v>
      </c>
    </row>
    <row r="28" customFormat="false" ht="18" hidden="false" customHeight="true" outlineLevel="0" collapsed="false">
      <c r="B28" s="19" t="s">
        <v>152</v>
      </c>
      <c r="C28" s="22" t="n">
        <v>0.36</v>
      </c>
      <c r="D28" s="21" t="s">
        <v>169</v>
      </c>
      <c r="E28" s="21" t="n">
        <v>1</v>
      </c>
    </row>
    <row r="29" customFormat="false" ht="18" hidden="false" customHeight="true" outlineLevel="0" collapsed="false">
      <c r="B29" s="19" t="s">
        <v>170</v>
      </c>
      <c r="C29" s="22" t="n">
        <v>0.38</v>
      </c>
      <c r="D29" s="21" t="s">
        <v>169</v>
      </c>
      <c r="E29" s="21" t="n">
        <v>1</v>
      </c>
    </row>
    <row r="32" customFormat="false" ht="15" hidden="false" customHeight="false" outlineLevel="0" collapsed="false">
      <c r="B32" s="14" t="s">
        <v>171</v>
      </c>
      <c r="C32" s="15" t="s">
        <v>172</v>
      </c>
    </row>
    <row r="33" customFormat="false" ht="19.5" hidden="false" customHeight="true" outlineLevel="0" collapsed="false">
      <c r="B33" s="16" t="s">
        <v>72</v>
      </c>
      <c r="C33" s="18" t="s">
        <v>73</v>
      </c>
    </row>
    <row r="34" customFormat="false" ht="18" hidden="false" customHeight="true" outlineLevel="0" collapsed="false">
      <c r="B34" s="19" t="s">
        <v>173</v>
      </c>
      <c r="C34" s="21" t="n">
        <v>1.5</v>
      </c>
    </row>
    <row r="35" customFormat="false" ht="18" hidden="false" customHeight="true" outlineLevel="0" collapsed="false">
      <c r="B35" s="19" t="s">
        <v>58</v>
      </c>
      <c r="C35" s="21" t="n">
        <v>1.12</v>
      </c>
    </row>
    <row r="36" customFormat="false" ht="18" hidden="false" customHeight="true" outlineLevel="0" collapsed="false">
      <c r="B36" s="19" t="s">
        <v>174</v>
      </c>
      <c r="C36" s="21" t="n">
        <v>0.75</v>
      </c>
    </row>
    <row r="37" customFormat="false" ht="18" hidden="false" customHeight="true" outlineLevel="0" collapsed="false">
      <c r="B37" s="19" t="s">
        <v>175</v>
      </c>
      <c r="C37" s="21" t="n">
        <v>0.15</v>
      </c>
    </row>
    <row r="40" customFormat="false" ht="15" hidden="false" customHeight="false" outlineLevel="0" collapsed="false">
      <c r="B40" s="14" t="s">
        <v>176</v>
      </c>
      <c r="C40" s="15" t="s">
        <v>177</v>
      </c>
    </row>
    <row r="41" customFormat="false" ht="15" hidden="false" customHeight="false" outlineLevel="0" collapsed="false">
      <c r="B41" s="23" t="s">
        <v>178</v>
      </c>
    </row>
    <row r="42" customFormat="false" ht="19.5" hidden="false" customHeight="true" outlineLevel="0" collapsed="false">
      <c r="B42" s="16" t="s">
        <v>72</v>
      </c>
      <c r="C42" s="18" t="s">
        <v>73</v>
      </c>
    </row>
    <row r="43" customFormat="false" ht="18" hidden="false" customHeight="true" outlineLevel="0" collapsed="false">
      <c r="B43" s="19" t="s">
        <v>179</v>
      </c>
      <c r="C43" s="21" t="n">
        <v>2</v>
      </c>
    </row>
    <row r="44" customFormat="false" ht="18" hidden="false" customHeight="true" outlineLevel="0" collapsed="false">
      <c r="B44" s="19" t="s">
        <v>180</v>
      </c>
      <c r="C44" s="21" t="n">
        <v>75</v>
      </c>
    </row>
    <row r="45" customFormat="false" ht="18" hidden="false" customHeight="true" outlineLevel="0" collapsed="false">
      <c r="B45" s="19" t="s">
        <v>181</v>
      </c>
      <c r="C45" s="21" t="n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0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182</v>
      </c>
    </row>
    <row r="4" customFormat="false" ht="15" hidden="false" customHeight="false" outlineLevel="0" collapsed="false">
      <c r="B4" s="13" t="s">
        <v>183</v>
      </c>
    </row>
    <row r="6" customFormat="false" ht="15" hidden="false" customHeight="false" outlineLevel="0" collapsed="false">
      <c r="B6" s="14" t="s">
        <v>184</v>
      </c>
      <c r="C6" s="15" t="s">
        <v>185</v>
      </c>
    </row>
    <row r="7" customFormat="false" ht="19.5" hidden="false" customHeight="true" outlineLevel="0" collapsed="false">
      <c r="B7" s="16" t="s">
        <v>72</v>
      </c>
      <c r="C7" s="18" t="s">
        <v>73</v>
      </c>
    </row>
    <row r="8" customFormat="false" ht="18" hidden="false" customHeight="true" outlineLevel="0" collapsed="false">
      <c r="B8" s="19" t="s">
        <v>74</v>
      </c>
      <c r="C8" s="21" t="n">
        <v>2</v>
      </c>
    </row>
    <row r="9" customFormat="false" ht="18" hidden="false" customHeight="true" outlineLevel="0" collapsed="false">
      <c r="B9" s="19" t="s">
        <v>186</v>
      </c>
      <c r="C9" s="21" t="n">
        <v>2.4</v>
      </c>
    </row>
    <row r="10" customFormat="false" ht="18" hidden="false" customHeight="true" outlineLevel="0" collapsed="false">
      <c r="B10" s="19" t="s">
        <v>187</v>
      </c>
      <c r="C10" s="21" t="n">
        <v>6</v>
      </c>
    </row>
    <row r="11" customFormat="false" ht="18" hidden="false" customHeight="true" outlineLevel="0" collapsed="false">
      <c r="B11" s="19" t="s">
        <v>188</v>
      </c>
      <c r="C11" s="21" t="n">
        <v>8</v>
      </c>
    </row>
    <row r="12" customFormat="false" ht="18" hidden="false" customHeight="true" outlineLevel="0" collapsed="false">
      <c r="B12" s="19" t="s">
        <v>189</v>
      </c>
      <c r="C12" s="21" t="n">
        <v>25</v>
      </c>
    </row>
    <row r="15" customFormat="false" ht="15" hidden="false" customHeight="false" outlineLevel="0" collapsed="false">
      <c r="B15" s="14" t="s">
        <v>190</v>
      </c>
      <c r="C15" s="15" t="s">
        <v>191</v>
      </c>
    </row>
    <row r="16" customFormat="false" ht="19.5" hidden="false" customHeight="true" outlineLevel="0" collapsed="false">
      <c r="B16" s="16" t="s">
        <v>72</v>
      </c>
      <c r="C16" s="18" t="s">
        <v>73</v>
      </c>
    </row>
    <row r="17" customFormat="false" ht="18" hidden="false" customHeight="true" outlineLevel="0" collapsed="false">
      <c r="B17" s="19" t="s">
        <v>192</v>
      </c>
      <c r="C17" s="21" t="n">
        <v>7</v>
      </c>
    </row>
    <row r="18" customFormat="false" ht="18" hidden="false" customHeight="true" outlineLevel="0" collapsed="false">
      <c r="B18" s="19" t="s">
        <v>193</v>
      </c>
      <c r="C18" s="21" t="n">
        <v>3</v>
      </c>
    </row>
    <row r="19" customFormat="false" ht="18" hidden="false" customHeight="true" outlineLevel="0" collapsed="false">
      <c r="B19" s="19" t="s">
        <v>194</v>
      </c>
      <c r="C19" s="21" t="n">
        <v>1.05</v>
      </c>
    </row>
    <row r="20" customFormat="false" ht="18" hidden="false" customHeight="true" outlineLevel="0" collapsed="false">
      <c r="B20" s="19" t="s">
        <v>195</v>
      </c>
      <c r="C20" s="21" t="n">
        <v>2</v>
      </c>
    </row>
    <row r="21" customFormat="false" ht="18" hidden="false" customHeight="true" outlineLevel="0" collapsed="false">
      <c r="B21" s="19" t="s">
        <v>196</v>
      </c>
      <c r="C21" s="21" t="n">
        <v>22</v>
      </c>
    </row>
    <row r="24" customFormat="false" ht="15" hidden="false" customHeight="false" outlineLevel="0" collapsed="false">
      <c r="B24" s="14" t="s">
        <v>197</v>
      </c>
      <c r="E24" s="15" t="s">
        <v>198</v>
      </c>
    </row>
    <row r="25" customFormat="false" ht="19.5" hidden="false" customHeight="true" outlineLevel="0" collapsed="false">
      <c r="B25" s="16" t="s">
        <v>23</v>
      </c>
      <c r="C25" s="17" t="s">
        <v>199</v>
      </c>
      <c r="D25" s="17" t="s">
        <v>200</v>
      </c>
      <c r="E25" s="18" t="s">
        <v>73</v>
      </c>
    </row>
    <row r="26" customFormat="false" ht="18" hidden="false" customHeight="true" outlineLevel="0" collapsed="false">
      <c r="B26" s="19" t="s">
        <v>173</v>
      </c>
      <c r="C26" s="20" t="s">
        <v>201</v>
      </c>
      <c r="D26" s="20" t="s">
        <v>202</v>
      </c>
      <c r="E26" s="21" t="n">
        <v>1</v>
      </c>
    </row>
    <row r="27" customFormat="false" ht="18" hidden="false" customHeight="true" outlineLevel="0" collapsed="false">
      <c r="B27" s="19" t="s">
        <v>56</v>
      </c>
      <c r="C27" s="20" t="s">
        <v>203</v>
      </c>
      <c r="D27" s="20" t="s">
        <v>204</v>
      </c>
      <c r="E27" s="21" t="n">
        <v>0.18</v>
      </c>
    </row>
    <row r="28" customFormat="false" ht="18" hidden="false" customHeight="true" outlineLevel="0" collapsed="false">
      <c r="B28" s="19" t="s">
        <v>56</v>
      </c>
      <c r="C28" s="20" t="s">
        <v>203</v>
      </c>
      <c r="D28" s="20" t="s">
        <v>205</v>
      </c>
      <c r="E28" s="21" t="n">
        <v>0.1</v>
      </c>
    </row>
    <row r="29" customFormat="false" ht="18" hidden="false" customHeight="true" outlineLevel="0" collapsed="false">
      <c r="B29" s="19" t="s">
        <v>59</v>
      </c>
      <c r="C29" s="20" t="s">
        <v>206</v>
      </c>
      <c r="D29" s="20" t="s">
        <v>207</v>
      </c>
      <c r="E29" s="21" t="n">
        <v>0.34</v>
      </c>
    </row>
    <row r="30" customFormat="false" ht="18" hidden="false" customHeight="true" outlineLevel="0" collapsed="false">
      <c r="B30" s="19" t="s">
        <v>79</v>
      </c>
      <c r="C30" s="20" t="s">
        <v>208</v>
      </c>
      <c r="D30" s="20" t="s">
        <v>209</v>
      </c>
      <c r="E30" s="21" t="n">
        <v>1</v>
      </c>
    </row>
    <row r="31" customFormat="false" ht="18" hidden="false" customHeight="true" outlineLevel="0" collapsed="false">
      <c r="B31" s="19" t="s">
        <v>210</v>
      </c>
      <c r="C31" s="20" t="s">
        <v>211</v>
      </c>
      <c r="D31" s="20" t="s">
        <v>212</v>
      </c>
      <c r="E31" s="21" t="n">
        <v>1.5</v>
      </c>
    </row>
    <row r="32" customFormat="false" ht="18" hidden="false" customHeight="true" outlineLevel="0" collapsed="false">
      <c r="B32" s="19" t="s">
        <v>210</v>
      </c>
      <c r="C32" s="20" t="s">
        <v>211</v>
      </c>
      <c r="D32" s="20" t="s">
        <v>213</v>
      </c>
      <c r="E32" s="21" t="n">
        <v>1.2</v>
      </c>
    </row>
    <row r="33" customFormat="false" ht="18" hidden="false" customHeight="true" outlineLevel="0" collapsed="false">
      <c r="B33" s="19" t="s">
        <v>58</v>
      </c>
      <c r="C33" s="20" t="s">
        <v>214</v>
      </c>
      <c r="D33" s="20" t="s">
        <v>215</v>
      </c>
      <c r="E33" s="21" t="n">
        <v>0.1</v>
      </c>
    </row>
    <row r="34" customFormat="false" ht="18" hidden="false" customHeight="true" outlineLevel="0" collapsed="false">
      <c r="B34" s="19" t="s">
        <v>216</v>
      </c>
      <c r="C34" s="20" t="s">
        <v>217</v>
      </c>
      <c r="D34" s="20" t="s">
        <v>218</v>
      </c>
      <c r="E34" s="2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A0"/>
    <pageSetUpPr fitToPage="false"/>
  </sheetPr>
  <dimension ref="B2:E7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7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10"/>
  </cols>
  <sheetData>
    <row r="2" customFormat="false" ht="15" hidden="false" customHeight="false" outlineLevel="0" collapsed="false">
      <c r="B2" s="11" t="s">
        <v>18</v>
      </c>
    </row>
    <row r="3" customFormat="false" ht="25.5" hidden="false" customHeight="true" outlineLevel="0" collapsed="false">
      <c r="B3" s="12" t="s">
        <v>219</v>
      </c>
    </row>
    <row r="4" customFormat="false" ht="15" hidden="false" customHeight="false" outlineLevel="0" collapsed="false">
      <c r="B4" s="13" t="s">
        <v>220</v>
      </c>
    </row>
    <row r="6" customFormat="false" ht="15" hidden="false" customHeight="false" outlineLevel="0" collapsed="false">
      <c r="B6" s="14" t="s">
        <v>221</v>
      </c>
      <c r="D6" s="15" t="s">
        <v>222</v>
      </c>
    </row>
    <row r="7" customFormat="false" ht="19.5" hidden="false" customHeight="true" outlineLevel="0" collapsed="false">
      <c r="B7" s="16" t="s">
        <v>223</v>
      </c>
      <c r="C7" s="18" t="s">
        <v>219</v>
      </c>
      <c r="D7" s="17" t="s">
        <v>224</v>
      </c>
    </row>
    <row r="8" customFormat="false" ht="18" hidden="false" customHeight="true" outlineLevel="0" collapsed="false">
      <c r="B8" s="19" t="s">
        <v>225</v>
      </c>
      <c r="C8" s="21" t="n">
        <v>1</v>
      </c>
      <c r="D8" s="20" t="s">
        <v>226</v>
      </c>
    </row>
    <row r="9" customFormat="false" ht="18" hidden="false" customHeight="true" outlineLevel="0" collapsed="false">
      <c r="B9" s="19" t="s">
        <v>227</v>
      </c>
      <c r="C9" s="21" t="n">
        <v>1</v>
      </c>
      <c r="D9" s="20" t="s">
        <v>228</v>
      </c>
    </row>
    <row r="10" customFormat="false" ht="18" hidden="false" customHeight="true" outlineLevel="0" collapsed="false">
      <c r="B10" s="19" t="s">
        <v>229</v>
      </c>
      <c r="C10" s="21" t="n">
        <v>1</v>
      </c>
      <c r="D10" s="20" t="s">
        <v>230</v>
      </c>
    </row>
    <row r="13" customFormat="false" ht="15" hidden="false" customHeight="false" outlineLevel="0" collapsed="false">
      <c r="B13" s="14" t="s">
        <v>231</v>
      </c>
      <c r="E13" s="15" t="s">
        <v>232</v>
      </c>
    </row>
    <row r="14" customFormat="false" ht="15" hidden="false" customHeight="false" outlineLevel="0" collapsed="false">
      <c r="B14" s="23" t="s">
        <v>233</v>
      </c>
    </row>
    <row r="15" customFormat="false" ht="19.5" hidden="false" customHeight="true" outlineLevel="0" collapsed="false">
      <c r="B15" s="16" t="s">
        <v>23</v>
      </c>
      <c r="C15" s="17" t="s">
        <v>234</v>
      </c>
      <c r="D15" s="17" t="s">
        <v>24</v>
      </c>
      <c r="E15" s="18" t="s">
        <v>235</v>
      </c>
    </row>
    <row r="16" customFormat="false" ht="18" hidden="false" customHeight="true" outlineLevel="0" collapsed="false">
      <c r="B16" s="19" t="s">
        <v>236</v>
      </c>
      <c r="C16" s="20" t="s">
        <v>237</v>
      </c>
      <c r="D16" s="20" t="s">
        <v>238</v>
      </c>
      <c r="E16" s="21" t="n">
        <v>0</v>
      </c>
    </row>
    <row r="17" customFormat="false" ht="18" hidden="false" customHeight="true" outlineLevel="0" collapsed="false">
      <c r="B17" s="19" t="s">
        <v>239</v>
      </c>
      <c r="C17" s="20" t="s">
        <v>237</v>
      </c>
      <c r="D17" s="20" t="s">
        <v>240</v>
      </c>
      <c r="E17" s="21" t="n">
        <v>1</v>
      </c>
    </row>
    <row r="18" customFormat="false" ht="18" hidden="false" customHeight="true" outlineLevel="0" collapsed="false">
      <c r="B18" s="19" t="s">
        <v>241</v>
      </c>
      <c r="C18" s="20" t="s">
        <v>237</v>
      </c>
      <c r="D18" s="20" t="s">
        <v>242</v>
      </c>
      <c r="E18" s="21" t="n">
        <v>1</v>
      </c>
    </row>
    <row r="19" customFormat="false" ht="18" hidden="false" customHeight="true" outlineLevel="0" collapsed="false">
      <c r="B19" s="19" t="s">
        <v>243</v>
      </c>
      <c r="C19" s="20" t="s">
        <v>237</v>
      </c>
      <c r="D19" s="20" t="s">
        <v>244</v>
      </c>
      <c r="E19" s="21" t="n">
        <v>1</v>
      </c>
    </row>
    <row r="20" customFormat="false" ht="18" hidden="false" customHeight="true" outlineLevel="0" collapsed="false">
      <c r="B20" s="19" t="s">
        <v>245</v>
      </c>
      <c r="C20" s="20" t="s">
        <v>237</v>
      </c>
      <c r="D20" s="20" t="s">
        <v>246</v>
      </c>
      <c r="E20" s="21" t="n">
        <v>1</v>
      </c>
    </row>
    <row r="21" customFormat="false" ht="18" hidden="false" customHeight="true" outlineLevel="0" collapsed="false">
      <c r="B21" s="19" t="s">
        <v>247</v>
      </c>
      <c r="C21" s="20" t="s">
        <v>237</v>
      </c>
      <c r="D21" s="20" t="s">
        <v>248</v>
      </c>
      <c r="E21" s="21" t="n">
        <v>1</v>
      </c>
    </row>
    <row r="22" customFormat="false" ht="18" hidden="false" customHeight="true" outlineLevel="0" collapsed="false">
      <c r="B22" s="19" t="s">
        <v>249</v>
      </c>
      <c r="C22" s="20" t="s">
        <v>237</v>
      </c>
      <c r="D22" s="20" t="s">
        <v>250</v>
      </c>
      <c r="E22" s="21" t="n">
        <v>1</v>
      </c>
    </row>
    <row r="23" customFormat="false" ht="18" hidden="false" customHeight="true" outlineLevel="0" collapsed="false">
      <c r="B23" s="19" t="s">
        <v>251</v>
      </c>
      <c r="C23" s="20" t="s">
        <v>237</v>
      </c>
      <c r="D23" s="20" t="s">
        <v>252</v>
      </c>
      <c r="E23" s="21" t="n">
        <v>1</v>
      </c>
    </row>
    <row r="24" customFormat="false" ht="18" hidden="false" customHeight="true" outlineLevel="0" collapsed="false">
      <c r="B24" s="19" t="s">
        <v>253</v>
      </c>
      <c r="C24" s="20" t="s">
        <v>237</v>
      </c>
      <c r="D24" s="20" t="s">
        <v>254</v>
      </c>
      <c r="E24" s="21" t="n">
        <v>1</v>
      </c>
    </row>
    <row r="25" customFormat="false" ht="18" hidden="false" customHeight="true" outlineLevel="0" collapsed="false">
      <c r="B25" s="19" t="s">
        <v>255</v>
      </c>
      <c r="C25" s="20" t="s">
        <v>237</v>
      </c>
      <c r="D25" s="20" t="s">
        <v>256</v>
      </c>
      <c r="E25" s="21" t="n">
        <v>2</v>
      </c>
    </row>
    <row r="26" customFormat="false" ht="18" hidden="false" customHeight="true" outlineLevel="0" collapsed="false">
      <c r="B26" s="19" t="s">
        <v>257</v>
      </c>
      <c r="C26" s="20" t="s">
        <v>237</v>
      </c>
      <c r="D26" s="20" t="s">
        <v>258</v>
      </c>
      <c r="E26" s="21" t="n">
        <v>2</v>
      </c>
    </row>
    <row r="27" customFormat="false" ht="18" hidden="false" customHeight="true" outlineLevel="0" collapsed="false">
      <c r="B27" s="19" t="s">
        <v>259</v>
      </c>
      <c r="C27" s="20" t="s">
        <v>237</v>
      </c>
      <c r="D27" s="20" t="s">
        <v>260</v>
      </c>
      <c r="E27" s="21" t="n">
        <v>2</v>
      </c>
    </row>
    <row r="28" customFormat="false" ht="18" hidden="false" customHeight="true" outlineLevel="0" collapsed="false">
      <c r="B28" s="19" t="s">
        <v>261</v>
      </c>
      <c r="C28" s="20" t="s">
        <v>237</v>
      </c>
      <c r="D28" s="20" t="s">
        <v>262</v>
      </c>
      <c r="E28" s="21" t="n">
        <v>2</v>
      </c>
    </row>
    <row r="29" customFormat="false" ht="18" hidden="false" customHeight="true" outlineLevel="0" collapsed="false">
      <c r="B29" s="19" t="s">
        <v>263</v>
      </c>
      <c r="C29" s="20" t="s">
        <v>237</v>
      </c>
      <c r="D29" s="20" t="s">
        <v>264</v>
      </c>
      <c r="E29" s="21" t="n">
        <v>2</v>
      </c>
    </row>
    <row r="30" customFormat="false" ht="18" hidden="false" customHeight="true" outlineLevel="0" collapsed="false">
      <c r="B30" s="19" t="s">
        <v>265</v>
      </c>
      <c r="C30" s="20" t="s">
        <v>237</v>
      </c>
      <c r="D30" s="20" t="s">
        <v>266</v>
      </c>
      <c r="E30" s="21" t="n">
        <v>2</v>
      </c>
    </row>
    <row r="31" customFormat="false" ht="18" hidden="false" customHeight="true" outlineLevel="0" collapsed="false">
      <c r="B31" s="19" t="s">
        <v>267</v>
      </c>
      <c r="C31" s="20" t="s">
        <v>237</v>
      </c>
      <c r="D31" s="20" t="s">
        <v>268</v>
      </c>
      <c r="E31" s="21" t="n">
        <v>999</v>
      </c>
    </row>
    <row r="32" customFormat="false" ht="18" hidden="false" customHeight="true" outlineLevel="0" collapsed="false">
      <c r="B32" s="19" t="s">
        <v>269</v>
      </c>
      <c r="C32" s="20" t="s">
        <v>270</v>
      </c>
      <c r="D32" s="20" t="s">
        <v>30</v>
      </c>
      <c r="E32" s="21" t="n">
        <v>0</v>
      </c>
    </row>
    <row r="33" customFormat="false" ht="18" hidden="false" customHeight="true" outlineLevel="0" collapsed="false">
      <c r="B33" s="19" t="s">
        <v>271</v>
      </c>
      <c r="C33" s="20" t="s">
        <v>270</v>
      </c>
      <c r="D33" s="20" t="s">
        <v>272</v>
      </c>
      <c r="E33" s="21" t="n">
        <v>1</v>
      </c>
    </row>
    <row r="34" customFormat="false" ht="18" hidden="false" customHeight="true" outlineLevel="0" collapsed="false">
      <c r="B34" s="19" t="s">
        <v>273</v>
      </c>
      <c r="C34" s="20" t="s">
        <v>270</v>
      </c>
      <c r="D34" s="20" t="s">
        <v>274</v>
      </c>
      <c r="E34" s="21" t="n">
        <v>1</v>
      </c>
    </row>
    <row r="35" customFormat="false" ht="18" hidden="false" customHeight="true" outlineLevel="0" collapsed="false">
      <c r="B35" s="19" t="s">
        <v>275</v>
      </c>
      <c r="C35" s="20" t="s">
        <v>270</v>
      </c>
      <c r="D35" s="20" t="s">
        <v>276</v>
      </c>
      <c r="E35" s="21" t="n">
        <v>1</v>
      </c>
    </row>
    <row r="36" customFormat="false" ht="18" hidden="false" customHeight="true" outlineLevel="0" collapsed="false">
      <c r="B36" s="19" t="s">
        <v>277</v>
      </c>
      <c r="C36" s="20" t="s">
        <v>270</v>
      </c>
      <c r="D36" s="20" t="s">
        <v>278</v>
      </c>
      <c r="E36" s="21" t="n">
        <v>1</v>
      </c>
    </row>
    <row r="37" customFormat="false" ht="18" hidden="false" customHeight="true" outlineLevel="0" collapsed="false">
      <c r="B37" s="19" t="s">
        <v>279</v>
      </c>
      <c r="C37" s="20" t="s">
        <v>270</v>
      </c>
      <c r="D37" s="20" t="s">
        <v>280</v>
      </c>
      <c r="E37" s="21" t="n">
        <v>1</v>
      </c>
    </row>
    <row r="38" customFormat="false" ht="18" hidden="false" customHeight="true" outlineLevel="0" collapsed="false">
      <c r="B38" s="19" t="s">
        <v>281</v>
      </c>
      <c r="C38" s="20" t="s">
        <v>270</v>
      </c>
      <c r="D38" s="20" t="s">
        <v>282</v>
      </c>
      <c r="E38" s="21" t="n">
        <v>1</v>
      </c>
    </row>
    <row r="39" customFormat="false" ht="18" hidden="false" customHeight="true" outlineLevel="0" collapsed="false">
      <c r="B39" s="19" t="s">
        <v>283</v>
      </c>
      <c r="C39" s="20" t="s">
        <v>270</v>
      </c>
      <c r="D39" s="20" t="s">
        <v>284</v>
      </c>
      <c r="E39" s="21" t="n">
        <v>1</v>
      </c>
    </row>
    <row r="40" customFormat="false" ht="18" hidden="false" customHeight="true" outlineLevel="0" collapsed="false">
      <c r="B40" s="19" t="s">
        <v>285</v>
      </c>
      <c r="C40" s="20" t="s">
        <v>286</v>
      </c>
      <c r="D40" s="20" t="s">
        <v>287</v>
      </c>
      <c r="E40" s="21" t="n">
        <v>0</v>
      </c>
    </row>
    <row r="41" customFormat="false" ht="18" hidden="false" customHeight="true" outlineLevel="0" collapsed="false">
      <c r="B41" s="19" t="s">
        <v>288</v>
      </c>
      <c r="C41" s="20" t="s">
        <v>286</v>
      </c>
      <c r="D41" s="20" t="s">
        <v>289</v>
      </c>
      <c r="E41" s="21" t="n">
        <v>2</v>
      </c>
    </row>
    <row r="42" customFormat="false" ht="18" hidden="false" customHeight="true" outlineLevel="0" collapsed="false">
      <c r="B42" s="19" t="s">
        <v>290</v>
      </c>
      <c r="C42" s="20" t="s">
        <v>286</v>
      </c>
      <c r="D42" s="20" t="s">
        <v>291</v>
      </c>
      <c r="E42" s="21" t="n">
        <v>2</v>
      </c>
    </row>
    <row r="43" customFormat="false" ht="18" hidden="false" customHeight="true" outlineLevel="0" collapsed="false">
      <c r="B43" s="19" t="s">
        <v>292</v>
      </c>
      <c r="C43" s="20" t="s">
        <v>286</v>
      </c>
      <c r="D43" s="20" t="s">
        <v>293</v>
      </c>
      <c r="E43" s="21" t="n">
        <v>2</v>
      </c>
    </row>
    <row r="44" customFormat="false" ht="18" hidden="false" customHeight="true" outlineLevel="0" collapsed="false">
      <c r="B44" s="19" t="s">
        <v>294</v>
      </c>
      <c r="C44" s="20" t="s">
        <v>286</v>
      </c>
      <c r="D44" s="20" t="s">
        <v>295</v>
      </c>
      <c r="E44" s="21" t="n">
        <v>2</v>
      </c>
    </row>
    <row r="45" customFormat="false" ht="18" hidden="false" customHeight="true" outlineLevel="0" collapsed="false">
      <c r="B45" s="19" t="s">
        <v>296</v>
      </c>
      <c r="C45" s="20" t="s">
        <v>286</v>
      </c>
      <c r="D45" s="20" t="s">
        <v>297</v>
      </c>
      <c r="E45" s="21" t="n">
        <v>2</v>
      </c>
    </row>
    <row r="46" customFormat="false" ht="18" hidden="false" customHeight="true" outlineLevel="0" collapsed="false">
      <c r="B46" s="19" t="s">
        <v>298</v>
      </c>
      <c r="C46" s="20" t="s">
        <v>286</v>
      </c>
      <c r="D46" s="20" t="s">
        <v>299</v>
      </c>
      <c r="E46" s="21" t="n">
        <v>3</v>
      </c>
    </row>
    <row r="47" customFormat="false" ht="18" hidden="false" customHeight="true" outlineLevel="0" collapsed="false">
      <c r="B47" s="19" t="s">
        <v>300</v>
      </c>
      <c r="C47" s="20" t="s">
        <v>286</v>
      </c>
      <c r="D47" s="20" t="s">
        <v>301</v>
      </c>
      <c r="E47" s="21" t="n">
        <v>3</v>
      </c>
    </row>
    <row r="48" customFormat="false" ht="18" hidden="false" customHeight="true" outlineLevel="0" collapsed="false">
      <c r="B48" s="19" t="s">
        <v>302</v>
      </c>
      <c r="C48" s="20" t="s">
        <v>286</v>
      </c>
      <c r="D48" s="20" t="s">
        <v>303</v>
      </c>
      <c r="E48" s="21" t="n">
        <v>3</v>
      </c>
    </row>
    <row r="49" customFormat="false" ht="18" hidden="false" customHeight="true" outlineLevel="0" collapsed="false">
      <c r="B49" s="19" t="s">
        <v>304</v>
      </c>
      <c r="C49" s="20" t="s">
        <v>286</v>
      </c>
      <c r="D49" s="20" t="s">
        <v>305</v>
      </c>
      <c r="E49" s="21" t="n">
        <v>3</v>
      </c>
    </row>
    <row r="50" customFormat="false" ht="18" hidden="false" customHeight="true" outlineLevel="0" collapsed="false">
      <c r="B50" s="19" t="s">
        <v>306</v>
      </c>
      <c r="C50" s="20" t="s">
        <v>307</v>
      </c>
      <c r="D50" s="20" t="s">
        <v>308</v>
      </c>
      <c r="E50" s="21" t="n">
        <v>0</v>
      </c>
    </row>
    <row r="51" customFormat="false" ht="18" hidden="false" customHeight="true" outlineLevel="0" collapsed="false">
      <c r="B51" s="19" t="s">
        <v>309</v>
      </c>
      <c r="C51" s="20" t="s">
        <v>307</v>
      </c>
      <c r="D51" s="20" t="s">
        <v>310</v>
      </c>
      <c r="E51" s="21" t="n">
        <v>3</v>
      </c>
    </row>
    <row r="52" customFormat="false" ht="18" hidden="false" customHeight="true" outlineLevel="0" collapsed="false">
      <c r="B52" s="19" t="s">
        <v>311</v>
      </c>
      <c r="C52" s="20" t="s">
        <v>307</v>
      </c>
      <c r="D52" s="20" t="s">
        <v>312</v>
      </c>
      <c r="E52" s="21" t="n">
        <v>3</v>
      </c>
    </row>
    <row r="53" customFormat="false" ht="18" hidden="false" customHeight="true" outlineLevel="0" collapsed="false">
      <c r="B53" s="19" t="s">
        <v>313</v>
      </c>
      <c r="C53" s="20" t="s">
        <v>307</v>
      </c>
      <c r="D53" s="20" t="s">
        <v>314</v>
      </c>
      <c r="E53" s="21" t="n">
        <v>3</v>
      </c>
    </row>
    <row r="54" customFormat="false" ht="18" hidden="false" customHeight="true" outlineLevel="0" collapsed="false">
      <c r="B54" s="19" t="s">
        <v>315</v>
      </c>
      <c r="C54" s="20" t="s">
        <v>307</v>
      </c>
      <c r="D54" s="20" t="s">
        <v>316</v>
      </c>
      <c r="E54" s="21" t="n">
        <v>4</v>
      </c>
    </row>
    <row r="55" customFormat="false" ht="18" hidden="false" customHeight="true" outlineLevel="0" collapsed="false">
      <c r="B55" s="19" t="s">
        <v>317</v>
      </c>
      <c r="C55" s="20" t="s">
        <v>307</v>
      </c>
      <c r="D55" s="20" t="s">
        <v>318</v>
      </c>
      <c r="E55" s="21" t="n">
        <v>4</v>
      </c>
    </row>
    <row r="56" customFormat="false" ht="18" hidden="false" customHeight="true" outlineLevel="0" collapsed="false">
      <c r="B56" s="19" t="s">
        <v>319</v>
      </c>
      <c r="C56" s="20" t="s">
        <v>307</v>
      </c>
      <c r="D56" s="20" t="s">
        <v>320</v>
      </c>
      <c r="E56" s="21" t="n">
        <v>4</v>
      </c>
    </row>
    <row r="57" customFormat="false" ht="18" hidden="false" customHeight="true" outlineLevel="0" collapsed="false">
      <c r="B57" s="19" t="s">
        <v>321</v>
      </c>
      <c r="C57" s="20" t="s">
        <v>307</v>
      </c>
      <c r="D57" s="20" t="s">
        <v>322</v>
      </c>
      <c r="E57" s="21" t="n">
        <v>5</v>
      </c>
    </row>
    <row r="58" customFormat="false" ht="18" hidden="false" customHeight="true" outlineLevel="0" collapsed="false">
      <c r="B58" s="19" t="s">
        <v>323</v>
      </c>
      <c r="C58" s="20" t="s">
        <v>324</v>
      </c>
      <c r="D58" s="20" t="s">
        <v>325</v>
      </c>
      <c r="E58" s="21" t="n">
        <v>0</v>
      </c>
    </row>
    <row r="59" customFormat="false" ht="18" hidden="false" customHeight="true" outlineLevel="0" collapsed="false">
      <c r="B59" s="19" t="s">
        <v>326</v>
      </c>
      <c r="C59" s="20" t="s">
        <v>324</v>
      </c>
      <c r="D59" s="20" t="s">
        <v>327</v>
      </c>
      <c r="E59" s="21" t="n">
        <v>3</v>
      </c>
    </row>
    <row r="60" customFormat="false" ht="18" hidden="false" customHeight="true" outlineLevel="0" collapsed="false">
      <c r="B60" s="19" t="s">
        <v>328</v>
      </c>
      <c r="C60" s="20" t="s">
        <v>324</v>
      </c>
      <c r="D60" s="20" t="s">
        <v>329</v>
      </c>
      <c r="E60" s="21" t="n">
        <v>3</v>
      </c>
    </row>
    <row r="61" customFormat="false" ht="18" hidden="false" customHeight="true" outlineLevel="0" collapsed="false">
      <c r="B61" s="19" t="s">
        <v>330</v>
      </c>
      <c r="C61" s="20" t="s">
        <v>324</v>
      </c>
      <c r="D61" s="20" t="s">
        <v>331</v>
      </c>
      <c r="E61" s="21" t="n">
        <v>3</v>
      </c>
    </row>
    <row r="62" customFormat="false" ht="18" hidden="false" customHeight="true" outlineLevel="0" collapsed="false">
      <c r="B62" s="19" t="s">
        <v>332</v>
      </c>
      <c r="C62" s="20" t="s">
        <v>324</v>
      </c>
      <c r="D62" s="20" t="s">
        <v>333</v>
      </c>
      <c r="E62" s="21" t="n">
        <v>3</v>
      </c>
    </row>
    <row r="63" customFormat="false" ht="18" hidden="false" customHeight="true" outlineLevel="0" collapsed="false">
      <c r="B63" s="19" t="s">
        <v>334</v>
      </c>
      <c r="C63" s="20" t="s">
        <v>324</v>
      </c>
      <c r="D63" s="20" t="s">
        <v>335</v>
      </c>
      <c r="E63" s="21" t="n">
        <v>4</v>
      </c>
    </row>
    <row r="64" customFormat="false" ht="18" hidden="false" customHeight="true" outlineLevel="0" collapsed="false">
      <c r="B64" s="19" t="s">
        <v>336</v>
      </c>
      <c r="C64" s="20" t="s">
        <v>324</v>
      </c>
      <c r="D64" s="20" t="s">
        <v>337</v>
      </c>
      <c r="E64" s="21" t="n">
        <v>4</v>
      </c>
    </row>
    <row r="67" customFormat="false" ht="15" hidden="false" customHeight="false" outlineLevel="0" collapsed="false">
      <c r="B67" s="14" t="s">
        <v>338</v>
      </c>
      <c r="D67" s="15" t="s">
        <v>339</v>
      </c>
    </row>
    <row r="68" customFormat="false" ht="19.5" hidden="false" customHeight="true" outlineLevel="0" collapsed="false">
      <c r="B68" s="16" t="s">
        <v>234</v>
      </c>
      <c r="C68" s="17" t="s">
        <v>340</v>
      </c>
      <c r="D68" s="17" t="s">
        <v>341</v>
      </c>
    </row>
    <row r="69" customFormat="false" ht="18" hidden="false" customHeight="true" outlineLevel="0" collapsed="false">
      <c r="B69" s="19" t="s">
        <v>237</v>
      </c>
      <c r="C69" s="20" t="n">
        <f aca="false">COUNTIF($C$16:$C$64,B69)</f>
        <v>16</v>
      </c>
      <c r="D69" s="20" t="n">
        <f aca="false">SUMIF($C$16:$C$64,B69,$E$16:$E$64)</f>
        <v>1019</v>
      </c>
    </row>
    <row r="70" customFormat="false" ht="18" hidden="false" customHeight="true" outlineLevel="0" collapsed="false">
      <c r="B70" s="19" t="s">
        <v>270</v>
      </c>
      <c r="C70" s="20" t="n">
        <f aca="false">COUNTIF($C$16:$C$64,B70)</f>
        <v>8</v>
      </c>
      <c r="D70" s="20" t="n">
        <f aca="false">SUMIF($C$16:$C$64,B70,$E$16:$E$64)</f>
        <v>7</v>
      </c>
    </row>
    <row r="71" customFormat="false" ht="18" hidden="false" customHeight="true" outlineLevel="0" collapsed="false">
      <c r="B71" s="19" t="s">
        <v>286</v>
      </c>
      <c r="C71" s="20" t="n">
        <f aca="false">COUNTIF($C$16:$C$64,B71)</f>
        <v>10</v>
      </c>
      <c r="D71" s="20" t="n">
        <f aca="false">SUMIF($C$16:$C$64,B71,$E$16:$E$64)</f>
        <v>22</v>
      </c>
    </row>
    <row r="72" customFormat="false" ht="18" hidden="false" customHeight="true" outlineLevel="0" collapsed="false">
      <c r="B72" s="19" t="s">
        <v>307</v>
      </c>
      <c r="C72" s="20" t="n">
        <f aca="false">COUNTIF($C$16:$C$64,B72)</f>
        <v>8</v>
      </c>
      <c r="D72" s="20" t="n">
        <f aca="false">SUMIF($C$16:$C$64,B72,$E$16:$E$64)</f>
        <v>26</v>
      </c>
    </row>
    <row r="73" customFormat="false" ht="18" hidden="false" customHeight="true" outlineLevel="0" collapsed="false">
      <c r="B73" s="19" t="s">
        <v>324</v>
      </c>
      <c r="C73" s="20" t="n">
        <f aca="false">COUNTIF($C$16:$C$64,B73)</f>
        <v>7</v>
      </c>
      <c r="D73" s="20" t="n">
        <f aca="false">SUMIF($C$16:$C$64,B73,$E$16:$E$64)</f>
        <v>20</v>
      </c>
    </row>
    <row r="74" customFormat="false" ht="18" hidden="false" customHeight="true" outlineLevel="0" collapsed="false">
      <c r="B74" s="19" t="s">
        <v>342</v>
      </c>
      <c r="C74" s="20" t="n">
        <f aca="false">SUM(C69:C73)</f>
        <v>49</v>
      </c>
      <c r="D74" s="20" t="n">
        <f aca="false">SUM(D69:D73)-999</f>
        <v>95</v>
      </c>
    </row>
    <row r="75" customFormat="false" ht="18" hidden="false" customHeight="true" outlineLevel="0" collapsed="false">
      <c r="B75" s="19" t="s">
        <v>343</v>
      </c>
      <c r="C75" s="20"/>
      <c r="D75" s="20" t="n">
        <f aca="false">ROUNDUP((-1+SQRT(1+8*D74/C9))/2,0)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0DFF"/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0"/>
  </cols>
  <sheetData>
    <row r="2" customFormat="false" ht="15" hidden="false" customHeight="false" outlineLevel="0" collapsed="false">
      <c r="B2" s="24" t="s">
        <v>344</v>
      </c>
    </row>
    <row r="3" customFormat="false" ht="25.5" hidden="false" customHeight="true" outlineLevel="0" collapsed="false">
      <c r="B3" s="12" t="s">
        <v>345</v>
      </c>
    </row>
    <row r="4" customFormat="false" ht="15" hidden="false" customHeight="false" outlineLevel="0" collapsed="false">
      <c r="B4" s="13" t="s">
        <v>346</v>
      </c>
    </row>
    <row r="6" customFormat="false" ht="15" hidden="false" customHeight="false" outlineLevel="0" collapsed="false">
      <c r="B6" s="14" t="s">
        <v>347</v>
      </c>
      <c r="C6" s="15" t="s">
        <v>348</v>
      </c>
    </row>
    <row r="7" customFormat="false" ht="19.5" hidden="false" customHeight="true" outlineLevel="0" collapsed="false">
      <c r="B7" s="25" t="s">
        <v>349</v>
      </c>
      <c r="C7" s="26" t="s">
        <v>73</v>
      </c>
    </row>
    <row r="8" customFormat="false" ht="18" hidden="false" customHeight="true" outlineLevel="0" collapsed="false">
      <c r="B8" s="19" t="s">
        <v>350</v>
      </c>
      <c r="C8" s="27" t="n">
        <v>4</v>
      </c>
    </row>
    <row r="9" customFormat="false" ht="18" hidden="false" customHeight="true" outlineLevel="0" collapsed="false">
      <c r="B9" s="19" t="s">
        <v>351</v>
      </c>
      <c r="C9" s="27" t="n">
        <v>4</v>
      </c>
    </row>
    <row r="10" customFormat="false" ht="18" hidden="false" customHeight="true" outlineLevel="0" collapsed="false">
      <c r="B10" s="19" t="s">
        <v>352</v>
      </c>
      <c r="C10" s="27" t="n">
        <v>3</v>
      </c>
    </row>
    <row r="11" customFormat="false" ht="18" hidden="false" customHeight="true" outlineLevel="0" collapsed="false">
      <c r="B11" s="19" t="s">
        <v>353</v>
      </c>
      <c r="C11" s="27" t="n">
        <v>2</v>
      </c>
    </row>
    <row r="12" customFormat="false" ht="18" hidden="false" customHeight="true" outlineLevel="0" collapsed="false">
      <c r="B12" s="19" t="s">
        <v>354</v>
      </c>
      <c r="C12" s="27" t="n">
        <v>2</v>
      </c>
    </row>
    <row r="13" customFormat="false" ht="18" hidden="false" customHeight="true" outlineLevel="0" collapsed="false">
      <c r="B13" s="19" t="s">
        <v>355</v>
      </c>
      <c r="C13" s="27" t="n">
        <v>5</v>
      </c>
    </row>
    <row r="16" customFormat="false" ht="15" hidden="false" customHeight="false" outlineLevel="0" collapsed="false">
      <c r="B16" s="14" t="s">
        <v>356</v>
      </c>
      <c r="C16" s="15" t="s">
        <v>357</v>
      </c>
    </row>
    <row r="17" customFormat="false" ht="19.5" hidden="false" customHeight="true" outlineLevel="0" collapsed="false">
      <c r="B17" s="25" t="s">
        <v>349</v>
      </c>
      <c r="C17" s="26" t="s">
        <v>73</v>
      </c>
    </row>
    <row r="18" customFormat="false" ht="18" hidden="false" customHeight="true" outlineLevel="0" collapsed="false">
      <c r="B18" s="19" t="s">
        <v>358</v>
      </c>
      <c r="C18" s="27" t="n">
        <v>1000</v>
      </c>
    </row>
    <row r="19" customFormat="false" ht="18" hidden="false" customHeight="true" outlineLevel="0" collapsed="false">
      <c r="B19" s="19" t="s">
        <v>359</v>
      </c>
      <c r="C19" s="27" t="n">
        <v>500</v>
      </c>
    </row>
    <row r="20" customFormat="false" ht="18" hidden="false" customHeight="true" outlineLevel="0" collapsed="false">
      <c r="B20" s="19" t="s">
        <v>360</v>
      </c>
      <c r="C20" s="27" t="n">
        <v>300</v>
      </c>
    </row>
    <row r="21" customFormat="false" ht="18" hidden="false" customHeight="true" outlineLevel="0" collapsed="false">
      <c r="B21" s="19" t="s">
        <v>361</v>
      </c>
      <c r="C21" s="27" t="n">
        <v>500</v>
      </c>
    </row>
    <row r="22" customFormat="false" ht="18" hidden="false" customHeight="true" outlineLevel="0" collapsed="false">
      <c r="B22" s="19" t="s">
        <v>362</v>
      </c>
      <c r="C22" s="27" t="n">
        <v>300</v>
      </c>
    </row>
    <row r="23" customFormat="false" ht="18" hidden="false" customHeight="true" outlineLevel="0" collapsed="false">
      <c r="B23" s="19" t="s">
        <v>363</v>
      </c>
      <c r="C23" s="27" t="n">
        <v>700</v>
      </c>
    </row>
    <row r="26" customFormat="false" ht="15" hidden="false" customHeight="false" outlineLevel="0" collapsed="false">
      <c r="B26" s="14" t="s">
        <v>364</v>
      </c>
      <c r="C26" s="15" t="s">
        <v>365</v>
      </c>
    </row>
    <row r="27" customFormat="false" ht="19.5" hidden="false" customHeight="true" outlineLevel="0" collapsed="false">
      <c r="B27" s="25" t="s">
        <v>349</v>
      </c>
      <c r="C27" s="26" t="s">
        <v>73</v>
      </c>
    </row>
    <row r="28" customFormat="false" ht="18" hidden="false" customHeight="true" outlineLevel="0" collapsed="false">
      <c r="B28" s="19" t="s">
        <v>366</v>
      </c>
      <c r="C28" s="27" t="n">
        <v>2</v>
      </c>
    </row>
    <row r="29" customFormat="false" ht="18" hidden="false" customHeight="true" outlineLevel="0" collapsed="false">
      <c r="B29" s="19" t="s">
        <v>367</v>
      </c>
      <c r="C29" s="27" t="n">
        <v>5</v>
      </c>
    </row>
    <row r="30" customFormat="false" ht="18" hidden="false" customHeight="true" outlineLevel="0" collapsed="false">
      <c r="B30" s="19" t="s">
        <v>368</v>
      </c>
      <c r="C30" s="27" t="n">
        <v>3</v>
      </c>
    </row>
    <row r="31" customFormat="false" ht="18" hidden="false" customHeight="true" outlineLevel="0" collapsed="false">
      <c r="B31" s="19" t="s">
        <v>369</v>
      </c>
      <c r="C31" s="2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0DFF"/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0"/>
  </cols>
  <sheetData>
    <row r="2" customFormat="false" ht="15" hidden="false" customHeight="false" outlineLevel="0" collapsed="false">
      <c r="B2" s="24" t="s">
        <v>344</v>
      </c>
    </row>
    <row r="3" customFormat="false" ht="25.5" hidden="false" customHeight="true" outlineLevel="0" collapsed="false">
      <c r="B3" s="12" t="s">
        <v>370</v>
      </c>
    </row>
    <row r="4" customFormat="false" ht="15" hidden="false" customHeight="false" outlineLevel="0" collapsed="false">
      <c r="B4" s="13" t="s">
        <v>371</v>
      </c>
    </row>
    <row r="6" customFormat="false" ht="15" hidden="false" customHeight="false" outlineLevel="0" collapsed="false">
      <c r="B6" s="14" t="s">
        <v>372</v>
      </c>
      <c r="E6" s="15" t="s">
        <v>373</v>
      </c>
    </row>
    <row r="7" customFormat="false" ht="19.5" hidden="false" customHeight="true" outlineLevel="0" collapsed="false">
      <c r="B7" s="25" t="s">
        <v>374</v>
      </c>
      <c r="C7" s="26" t="s">
        <v>73</v>
      </c>
      <c r="D7" s="28" t="s">
        <v>375</v>
      </c>
      <c r="E7" s="28" t="s">
        <v>120</v>
      </c>
    </row>
    <row r="8" customFormat="false" ht="18" hidden="false" customHeight="true" outlineLevel="0" collapsed="false">
      <c r="B8" s="19" t="s">
        <v>376</v>
      </c>
      <c r="C8" s="27" t="n">
        <v>2</v>
      </c>
      <c r="D8" s="20" t="s">
        <v>377</v>
      </c>
      <c r="E8" s="20" t="s">
        <v>378</v>
      </c>
    </row>
    <row r="9" customFormat="false" ht="18" hidden="false" customHeight="true" outlineLevel="0" collapsed="false">
      <c r="B9" s="19" t="s">
        <v>379</v>
      </c>
      <c r="C9" s="27" t="n">
        <v>3</v>
      </c>
      <c r="D9" s="20" t="s">
        <v>377</v>
      </c>
      <c r="E9" s="20" t="s">
        <v>378</v>
      </c>
    </row>
    <row r="10" customFormat="false" ht="18" hidden="false" customHeight="true" outlineLevel="0" collapsed="false">
      <c r="B10" s="19" t="s">
        <v>380</v>
      </c>
      <c r="C10" s="27" t="n">
        <v>4</v>
      </c>
      <c r="D10" s="20" t="s">
        <v>377</v>
      </c>
      <c r="E10" s="20" t="s">
        <v>378</v>
      </c>
    </row>
    <row r="11" customFormat="false" ht="18" hidden="false" customHeight="true" outlineLevel="0" collapsed="false">
      <c r="B11" s="19" t="s">
        <v>381</v>
      </c>
      <c r="C11" s="27" t="n">
        <v>5</v>
      </c>
      <c r="D11" s="20" t="s">
        <v>377</v>
      </c>
      <c r="E11" s="20" t="s">
        <v>378</v>
      </c>
    </row>
    <row r="12" customFormat="false" ht="18" hidden="false" customHeight="true" outlineLevel="0" collapsed="false">
      <c r="B12" s="19" t="s">
        <v>382</v>
      </c>
      <c r="C12" s="27" t="n">
        <v>6</v>
      </c>
      <c r="D12" s="20" t="s">
        <v>377</v>
      </c>
      <c r="E12" s="20" t="s">
        <v>378</v>
      </c>
    </row>
    <row r="13" customFormat="false" ht="18" hidden="false" customHeight="true" outlineLevel="0" collapsed="false">
      <c r="B13" s="19" t="s">
        <v>383</v>
      </c>
      <c r="C13" s="27" t="n">
        <v>7</v>
      </c>
      <c r="D13" s="20" t="s">
        <v>377</v>
      </c>
      <c r="E13" s="20" t="s">
        <v>378</v>
      </c>
    </row>
    <row r="14" customFormat="false" ht="18" hidden="false" customHeight="true" outlineLevel="0" collapsed="false">
      <c r="B14" s="19" t="s">
        <v>384</v>
      </c>
      <c r="C14" s="27" t="n">
        <v>8</v>
      </c>
      <c r="D14" s="20" t="s">
        <v>377</v>
      </c>
      <c r="E14" s="20" t="s">
        <v>378</v>
      </c>
    </row>
    <row r="15" customFormat="false" ht="18" hidden="false" customHeight="true" outlineLevel="0" collapsed="false">
      <c r="B15" s="19" t="s">
        <v>385</v>
      </c>
      <c r="C15" s="27" t="n">
        <v>9</v>
      </c>
      <c r="D15" s="20" t="s">
        <v>377</v>
      </c>
      <c r="E15" s="20" t="s">
        <v>378</v>
      </c>
    </row>
    <row r="16" customFormat="false" ht="18" hidden="false" customHeight="true" outlineLevel="0" collapsed="false">
      <c r="B16" s="19" t="s">
        <v>386</v>
      </c>
      <c r="C16" s="27" t="n">
        <v>10</v>
      </c>
      <c r="D16" s="20" t="s">
        <v>377</v>
      </c>
      <c r="E16" s="20" t="s">
        <v>378</v>
      </c>
    </row>
    <row r="17" customFormat="false" ht="18" hidden="false" customHeight="true" outlineLevel="0" collapsed="false">
      <c r="B17" s="19" t="s">
        <v>387</v>
      </c>
      <c r="C17" s="27" t="n">
        <v>11</v>
      </c>
      <c r="D17" s="20" t="s">
        <v>377</v>
      </c>
      <c r="E17" s="20" t="s">
        <v>388</v>
      </c>
    </row>
    <row r="18" customFormat="false" ht="18" hidden="false" customHeight="true" outlineLevel="0" collapsed="false">
      <c r="B18" s="19" t="s">
        <v>389</v>
      </c>
      <c r="C18" s="27" t="n">
        <v>12</v>
      </c>
      <c r="D18" s="20" t="s">
        <v>377</v>
      </c>
      <c r="E18" s="20" t="s">
        <v>390</v>
      </c>
    </row>
    <row r="19" customFormat="false" ht="18" hidden="false" customHeight="true" outlineLevel="0" collapsed="false">
      <c r="B19" s="19" t="s">
        <v>391</v>
      </c>
      <c r="C19" s="27" t="n">
        <v>13</v>
      </c>
      <c r="D19" s="20" t="s">
        <v>377</v>
      </c>
      <c r="E19" s="20" t="s">
        <v>392</v>
      </c>
    </row>
    <row r="20" customFormat="false" ht="18" hidden="false" customHeight="true" outlineLevel="0" collapsed="false">
      <c r="B20" s="19" t="s">
        <v>393</v>
      </c>
      <c r="C20" s="27" t="n">
        <v>14</v>
      </c>
      <c r="D20" s="20" t="s">
        <v>377</v>
      </c>
      <c r="E20" s="20" t="s">
        <v>394</v>
      </c>
    </row>
    <row r="21" customFormat="false" ht="18" hidden="false" customHeight="true" outlineLevel="0" collapsed="false">
      <c r="B21" s="19" t="s">
        <v>395</v>
      </c>
      <c r="C21" s="27" t="n">
        <v>0</v>
      </c>
      <c r="D21" s="20" t="s">
        <v>377</v>
      </c>
      <c r="E21" s="20" t="s">
        <v>396</v>
      </c>
    </row>
    <row r="22" customFormat="false" ht="18" hidden="false" customHeight="true" outlineLevel="0" collapsed="false">
      <c r="B22" s="19" t="s">
        <v>397</v>
      </c>
      <c r="C22" s="27" t="n">
        <v>6</v>
      </c>
      <c r="D22" s="20" t="s">
        <v>398</v>
      </c>
      <c r="E22" s="20" t="s">
        <v>399</v>
      </c>
    </row>
    <row r="23" customFormat="false" ht="18" hidden="false" customHeight="true" outlineLevel="0" collapsed="false">
      <c r="B23" s="19" t="s">
        <v>400</v>
      </c>
      <c r="C23" s="27" t="n">
        <v>15</v>
      </c>
      <c r="D23" s="20" t="s">
        <v>398</v>
      </c>
      <c r="E23" s="20" t="s">
        <v>396</v>
      </c>
    </row>
    <row r="24" customFormat="false" ht="18" hidden="false" customHeight="true" outlineLevel="0" collapsed="false">
      <c r="B24" s="19" t="s">
        <v>401</v>
      </c>
      <c r="C24" s="27" t="n">
        <v>4</v>
      </c>
      <c r="D24" s="20" t="s">
        <v>398</v>
      </c>
      <c r="E24" s="20" t="s">
        <v>378</v>
      </c>
    </row>
    <row r="25" customFormat="false" ht="18" hidden="false" customHeight="true" outlineLevel="0" collapsed="false">
      <c r="B25" s="19" t="s">
        <v>402</v>
      </c>
      <c r="C25" s="27" t="n">
        <v>3</v>
      </c>
      <c r="D25" s="20" t="s">
        <v>398</v>
      </c>
      <c r="E25" s="20" t="s">
        <v>378</v>
      </c>
    </row>
    <row r="26" customFormat="false" ht="18" hidden="false" customHeight="true" outlineLevel="0" collapsed="false">
      <c r="B26" s="19" t="s">
        <v>403</v>
      </c>
      <c r="C26" s="27" t="n">
        <v>9</v>
      </c>
      <c r="D26" s="20" t="s">
        <v>398</v>
      </c>
      <c r="E26" s="20" t="s">
        <v>404</v>
      </c>
    </row>
    <row r="27" customFormat="false" ht="18" hidden="false" customHeight="true" outlineLevel="0" collapsed="false">
      <c r="B27" s="19" t="s">
        <v>405</v>
      </c>
      <c r="C27" s="27" t="n">
        <v>5</v>
      </c>
      <c r="D27" s="20" t="s">
        <v>398</v>
      </c>
      <c r="E27" s="20" t="s">
        <v>378</v>
      </c>
    </row>
    <row r="28" customFormat="false" ht="18" hidden="false" customHeight="true" outlineLevel="0" collapsed="false">
      <c r="B28" s="19" t="s">
        <v>406</v>
      </c>
      <c r="C28" s="27" t="n">
        <v>16</v>
      </c>
      <c r="D28" s="20" t="s">
        <v>407</v>
      </c>
      <c r="E28" s="20" t="s">
        <v>392</v>
      </c>
    </row>
    <row r="29" customFormat="false" ht="18" hidden="false" customHeight="true" outlineLevel="0" collapsed="false">
      <c r="B29" s="19" t="s">
        <v>408</v>
      </c>
      <c r="C29" s="27" t="n">
        <v>7</v>
      </c>
      <c r="D29" s="20" t="s">
        <v>407</v>
      </c>
      <c r="E29" s="20" t="s">
        <v>378</v>
      </c>
    </row>
    <row r="30" customFormat="false" ht="18" hidden="false" customHeight="true" outlineLevel="0" collapsed="false">
      <c r="B30" s="19" t="s">
        <v>409</v>
      </c>
      <c r="C30" s="27" t="n">
        <v>8</v>
      </c>
      <c r="D30" s="20" t="s">
        <v>407</v>
      </c>
      <c r="E30" s="20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0DFF"/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0"/>
  </cols>
  <sheetData>
    <row r="2" customFormat="false" ht="15" hidden="false" customHeight="false" outlineLevel="0" collapsed="false">
      <c r="B2" s="24" t="s">
        <v>344</v>
      </c>
    </row>
    <row r="3" customFormat="false" ht="25.5" hidden="false" customHeight="true" outlineLevel="0" collapsed="false">
      <c r="B3" s="12" t="s">
        <v>114</v>
      </c>
    </row>
    <row r="4" customFormat="false" ht="15" hidden="false" customHeight="false" outlineLevel="0" collapsed="false">
      <c r="B4" s="13" t="s">
        <v>410</v>
      </c>
    </row>
    <row r="6" customFormat="false" ht="15" hidden="false" customHeight="false" outlineLevel="0" collapsed="false">
      <c r="B6" s="14" t="s">
        <v>114</v>
      </c>
      <c r="D6" s="15" t="s">
        <v>411</v>
      </c>
    </row>
    <row r="7" customFormat="false" ht="19.5" hidden="false" customHeight="true" outlineLevel="0" collapsed="false">
      <c r="B7" s="25" t="s">
        <v>118</v>
      </c>
      <c r="C7" s="28" t="s">
        <v>412</v>
      </c>
      <c r="D7" s="26" t="s">
        <v>413</v>
      </c>
    </row>
    <row r="8" customFormat="false" ht="18" hidden="false" customHeight="true" outlineLevel="0" collapsed="false">
      <c r="B8" s="19" t="s">
        <v>414</v>
      </c>
      <c r="C8" s="20" t="s">
        <v>396</v>
      </c>
      <c r="D8" s="27" t="n">
        <v>4</v>
      </c>
    </row>
    <row r="9" customFormat="false" ht="18" hidden="false" customHeight="true" outlineLevel="0" collapsed="false">
      <c r="B9" s="19" t="s">
        <v>415</v>
      </c>
      <c r="C9" s="20" t="s">
        <v>79</v>
      </c>
      <c r="D9" s="27" t="n">
        <v>4</v>
      </c>
    </row>
    <row r="10" customFormat="false" ht="18" hidden="false" customHeight="true" outlineLevel="0" collapsed="false">
      <c r="B10" s="19" t="s">
        <v>416</v>
      </c>
      <c r="C10" s="20" t="s">
        <v>417</v>
      </c>
      <c r="D10" s="27" t="n">
        <v>4</v>
      </c>
    </row>
    <row r="11" customFormat="false" ht="18" hidden="false" customHeight="true" outlineLevel="0" collapsed="false">
      <c r="B11" s="19" t="s">
        <v>418</v>
      </c>
      <c r="C11" s="20" t="s">
        <v>419</v>
      </c>
      <c r="D11" s="27" t="n">
        <v>5</v>
      </c>
    </row>
    <row r="12" customFormat="false" ht="18" hidden="false" customHeight="true" outlineLevel="0" collapsed="false">
      <c r="B12" s="19" t="s">
        <v>420</v>
      </c>
      <c r="C12" s="20" t="s">
        <v>421</v>
      </c>
      <c r="D12" s="27" t="n">
        <v>5</v>
      </c>
    </row>
    <row r="13" customFormat="false" ht="18" hidden="false" customHeight="true" outlineLevel="0" collapsed="false">
      <c r="B13" s="19" t="s">
        <v>422</v>
      </c>
      <c r="C13" s="20" t="s">
        <v>423</v>
      </c>
      <c r="D13" s="27" t="n">
        <v>5</v>
      </c>
    </row>
    <row r="14" customFormat="false" ht="18" hidden="false" customHeight="true" outlineLevel="0" collapsed="false">
      <c r="B14" s="19" t="s">
        <v>424</v>
      </c>
      <c r="C14" s="20" t="s">
        <v>425</v>
      </c>
      <c r="D14" s="27" t="n">
        <v>5</v>
      </c>
    </row>
    <row r="15" customFormat="false" ht="18" hidden="false" customHeight="true" outlineLevel="0" collapsed="false">
      <c r="B15" s="19" t="s">
        <v>426</v>
      </c>
      <c r="C15" s="20" t="s">
        <v>427</v>
      </c>
      <c r="D15" s="27" t="n">
        <v>5</v>
      </c>
    </row>
    <row r="16" customFormat="false" ht="18" hidden="false" customHeight="true" outlineLevel="0" collapsed="false">
      <c r="B16" s="19" t="s">
        <v>428</v>
      </c>
      <c r="C16" s="20" t="s">
        <v>429</v>
      </c>
      <c r="D16" s="27" t="n">
        <v>5</v>
      </c>
    </row>
    <row r="17" customFormat="false" ht="18" hidden="false" customHeight="true" outlineLevel="0" collapsed="false">
      <c r="B17" s="19" t="s">
        <v>430</v>
      </c>
      <c r="C17" s="20" t="s">
        <v>431</v>
      </c>
      <c r="D17" s="27" t="n">
        <v>5</v>
      </c>
    </row>
    <row r="18" customFormat="false" ht="18" hidden="false" customHeight="true" outlineLevel="0" collapsed="false">
      <c r="B18" s="19" t="s">
        <v>432</v>
      </c>
      <c r="C18" s="20" t="s">
        <v>433</v>
      </c>
      <c r="D18" s="27" t="n">
        <v>6</v>
      </c>
    </row>
    <row r="19" customFormat="false" ht="18" hidden="false" customHeight="true" outlineLevel="0" collapsed="false">
      <c r="B19" s="19" t="s">
        <v>434</v>
      </c>
      <c r="C19" s="20" t="s">
        <v>396</v>
      </c>
      <c r="D19" s="27" t="n">
        <v>7</v>
      </c>
    </row>
    <row r="22" customFormat="false" ht="15" hidden="false" customHeight="false" outlineLevel="0" collapsed="false">
      <c r="B22" s="14" t="s">
        <v>435</v>
      </c>
      <c r="C22" s="15" t="s">
        <v>436</v>
      </c>
    </row>
    <row r="23" customFormat="false" ht="19.5" hidden="false" customHeight="true" outlineLevel="0" collapsed="false">
      <c r="B23" s="25" t="s">
        <v>349</v>
      </c>
      <c r="C23" s="26" t="s">
        <v>73</v>
      </c>
    </row>
    <row r="24" customFormat="false" ht="18" hidden="false" customHeight="true" outlineLevel="0" collapsed="false">
      <c r="B24" s="19" t="s">
        <v>437</v>
      </c>
      <c r="C24" s="27" t="n">
        <v>2</v>
      </c>
    </row>
    <row r="25" customFormat="false" ht="18" hidden="false" customHeight="true" outlineLevel="0" collapsed="false">
      <c r="B25" s="19" t="s">
        <v>438</v>
      </c>
      <c r="C25" s="27" t="n">
        <v>4</v>
      </c>
    </row>
    <row r="26" customFormat="false" ht="18" hidden="false" customHeight="true" outlineLevel="0" collapsed="false">
      <c r="B26" s="19" t="s">
        <v>439</v>
      </c>
      <c r="C26" s="27" t="n">
        <v>5</v>
      </c>
    </row>
    <row r="27" customFormat="false" ht="18" hidden="false" customHeight="true" outlineLevel="0" collapsed="false">
      <c r="B27" s="19" t="s">
        <v>440</v>
      </c>
      <c r="C27" s="27" t="n">
        <v>1</v>
      </c>
    </row>
    <row r="28" customFormat="false" ht="18" hidden="false" customHeight="true" outlineLevel="0" collapsed="false">
      <c r="B28" s="19" t="s">
        <v>441</v>
      </c>
      <c r="C28" s="27" t="n">
        <v>2</v>
      </c>
    </row>
    <row r="29" customFormat="false" ht="18" hidden="false" customHeight="true" outlineLevel="0" collapsed="false">
      <c r="B29" s="19" t="s">
        <v>442</v>
      </c>
      <c r="C29" s="2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0DFF"/>
    <pageSetUpPr fitToPage="false"/>
  </sheetPr>
  <dimension ref="B2:E4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10"/>
  </cols>
  <sheetData>
    <row r="2" customFormat="false" ht="15" hidden="false" customHeight="false" outlineLevel="0" collapsed="false">
      <c r="B2" s="24" t="s">
        <v>344</v>
      </c>
    </row>
    <row r="3" customFormat="false" ht="25.5" hidden="false" customHeight="true" outlineLevel="0" collapsed="false">
      <c r="B3" s="12" t="s">
        <v>398</v>
      </c>
    </row>
    <row r="4" customFormat="false" ht="15" hidden="false" customHeight="false" outlineLevel="0" collapsed="false">
      <c r="B4" s="13" t="s">
        <v>443</v>
      </c>
    </row>
    <row r="6" customFormat="false" ht="15" hidden="false" customHeight="false" outlineLevel="0" collapsed="false">
      <c r="B6" s="14" t="s">
        <v>444</v>
      </c>
      <c r="C6" s="15" t="s">
        <v>445</v>
      </c>
    </row>
    <row r="7" customFormat="false" ht="19.5" hidden="false" customHeight="true" outlineLevel="0" collapsed="false">
      <c r="B7" s="25" t="s">
        <v>349</v>
      </c>
      <c r="C7" s="26" t="s">
        <v>73</v>
      </c>
    </row>
    <row r="8" customFormat="false" ht="18" hidden="false" customHeight="true" outlineLevel="0" collapsed="false">
      <c r="B8" s="19" t="s">
        <v>446</v>
      </c>
      <c r="C8" s="29" t="n">
        <v>6</v>
      </c>
    </row>
    <row r="9" customFormat="false" ht="18" hidden="false" customHeight="true" outlineLevel="0" collapsed="false">
      <c r="B9" s="19" t="s">
        <v>447</v>
      </c>
      <c r="C9" s="29" t="n">
        <v>0.3</v>
      </c>
    </row>
    <row r="10" customFormat="false" ht="18" hidden="false" customHeight="true" outlineLevel="0" collapsed="false">
      <c r="B10" s="19" t="s">
        <v>448</v>
      </c>
      <c r="C10" s="29" t="n">
        <v>0.85</v>
      </c>
    </row>
    <row r="11" customFormat="false" ht="18" hidden="false" customHeight="true" outlineLevel="0" collapsed="false">
      <c r="B11" s="19" t="s">
        <v>449</v>
      </c>
      <c r="C11" s="29" t="n">
        <v>0.85</v>
      </c>
    </row>
    <row r="12" customFormat="false" ht="18" hidden="false" customHeight="true" outlineLevel="0" collapsed="false">
      <c r="B12" s="19" t="s">
        <v>450</v>
      </c>
      <c r="C12" s="29" t="n">
        <v>2</v>
      </c>
    </row>
    <row r="13" customFormat="false" ht="18" hidden="false" customHeight="true" outlineLevel="0" collapsed="false">
      <c r="B13" s="19" t="s">
        <v>451</v>
      </c>
      <c r="C13" s="29" t="n">
        <v>9</v>
      </c>
    </row>
    <row r="14" customFormat="false" ht="18" hidden="false" customHeight="true" outlineLevel="0" collapsed="false">
      <c r="B14" s="19" t="s">
        <v>452</v>
      </c>
      <c r="C14" s="29" t="n">
        <v>2</v>
      </c>
    </row>
    <row r="15" customFormat="false" ht="18" hidden="false" customHeight="true" outlineLevel="0" collapsed="false">
      <c r="B15" s="19" t="s">
        <v>453</v>
      </c>
      <c r="C15" s="29" t="n">
        <v>3</v>
      </c>
    </row>
    <row r="16" customFormat="false" ht="18" hidden="false" customHeight="true" outlineLevel="0" collapsed="false">
      <c r="B16" s="19" t="s">
        <v>454</v>
      </c>
      <c r="C16" s="29" t="n">
        <v>0.15</v>
      </c>
    </row>
    <row r="17" customFormat="false" ht="18" hidden="false" customHeight="true" outlineLevel="0" collapsed="false">
      <c r="B17" s="19" t="s">
        <v>455</v>
      </c>
      <c r="C17" s="29" t="n">
        <v>0.45</v>
      </c>
    </row>
    <row r="18" customFormat="false" ht="18" hidden="false" customHeight="true" outlineLevel="0" collapsed="false">
      <c r="B18" s="19" t="s">
        <v>456</v>
      </c>
      <c r="C18" s="29" t="n">
        <v>3</v>
      </c>
    </row>
    <row r="19" customFormat="false" ht="18" hidden="false" customHeight="true" outlineLevel="0" collapsed="false">
      <c r="B19" s="19" t="s">
        <v>457</v>
      </c>
      <c r="C19" s="29" t="n">
        <v>3</v>
      </c>
    </row>
    <row r="20" customFormat="false" ht="18" hidden="false" customHeight="true" outlineLevel="0" collapsed="false">
      <c r="B20" s="19" t="s">
        <v>458</v>
      </c>
      <c r="C20" s="29" t="n">
        <v>1</v>
      </c>
    </row>
    <row r="21" customFormat="false" ht="18" hidden="false" customHeight="true" outlineLevel="0" collapsed="false">
      <c r="B21" s="19" t="s">
        <v>459</v>
      </c>
      <c r="C21" s="29" t="n">
        <v>2</v>
      </c>
    </row>
    <row r="22" customFormat="false" ht="18" hidden="false" customHeight="true" outlineLevel="0" collapsed="false">
      <c r="B22" s="19" t="s">
        <v>460</v>
      </c>
      <c r="C22" s="29" t="n">
        <v>3</v>
      </c>
    </row>
    <row r="23" customFormat="false" ht="18" hidden="false" customHeight="true" outlineLevel="0" collapsed="false">
      <c r="B23" s="19" t="s">
        <v>461</v>
      </c>
      <c r="C23" s="29" t="n">
        <v>1</v>
      </c>
    </row>
    <row r="24" customFormat="false" ht="18" hidden="false" customHeight="true" outlineLevel="0" collapsed="false">
      <c r="B24" s="19" t="s">
        <v>462</v>
      </c>
      <c r="C24" s="29" t="n">
        <v>4</v>
      </c>
    </row>
    <row r="25" customFormat="false" ht="18" hidden="false" customHeight="true" outlineLevel="0" collapsed="false">
      <c r="B25" s="19" t="s">
        <v>463</v>
      </c>
      <c r="C25" s="29" t="n">
        <v>1</v>
      </c>
    </row>
    <row r="28" customFormat="false" ht="15" hidden="false" customHeight="false" outlineLevel="0" collapsed="false">
      <c r="B28" s="14" t="s">
        <v>464</v>
      </c>
      <c r="E28" s="15" t="s">
        <v>339</v>
      </c>
    </row>
    <row r="29" customFormat="false" ht="19.5" hidden="false" customHeight="true" outlineLevel="0" collapsed="false">
      <c r="B29" s="25" t="s">
        <v>465</v>
      </c>
      <c r="C29" s="28" t="s">
        <v>466</v>
      </c>
      <c r="D29" s="28" t="s">
        <v>467</v>
      </c>
      <c r="E29" s="28" t="s">
        <v>468</v>
      </c>
    </row>
    <row r="30" customFormat="false" ht="18" hidden="false" customHeight="true" outlineLevel="0" collapsed="false">
      <c r="B30" s="19" t="n">
        <v>0</v>
      </c>
      <c r="C30" s="20" t="n">
        <f aca="false">MAX(1,$C$18+INT(B30/$C$19))</f>
        <v>3</v>
      </c>
      <c r="D30" s="30" t="n">
        <f aca="false">IF(B30&lt;4,$C$20,IF(B30&lt;8,$C$21,$C$22))</f>
        <v>1</v>
      </c>
      <c r="E30" s="20" t="str">
        <f aca="false">IF(AND(B30&gt;0,MOD(B30,$C$15)=0),"cofre","")</f>
        <v/>
      </c>
    </row>
    <row r="31" customFormat="false" ht="18" hidden="false" customHeight="true" outlineLevel="0" collapsed="false">
      <c r="B31" s="19" t="n">
        <v>1</v>
      </c>
      <c r="C31" s="20" t="n">
        <f aca="false">MAX(1,$C$18+INT(B31/$C$19))</f>
        <v>3</v>
      </c>
      <c r="D31" s="30" t="n">
        <f aca="false">IF(B31&lt;4,$C$20,IF(B31&lt;8,$C$21,$C$22))</f>
        <v>1</v>
      </c>
      <c r="E31" s="20" t="str">
        <f aca="false">IF(AND(B31&gt;0,MOD(B31,$C$15)=0),"cofre","")</f>
        <v/>
      </c>
    </row>
    <row r="32" customFormat="false" ht="18" hidden="false" customHeight="true" outlineLevel="0" collapsed="false">
      <c r="B32" s="19" t="n">
        <v>2</v>
      </c>
      <c r="C32" s="20" t="n">
        <f aca="false">MAX(1,$C$18+INT(B32/$C$19))</f>
        <v>3</v>
      </c>
      <c r="D32" s="30" t="n">
        <f aca="false">IF(B32&lt;4,$C$20,IF(B32&lt;8,$C$21,$C$22))</f>
        <v>1</v>
      </c>
      <c r="E32" s="20" t="str">
        <f aca="false">IF(AND(B32&gt;0,MOD(B32,$C$15)=0),"cofre","")</f>
        <v/>
      </c>
    </row>
    <row r="33" customFormat="false" ht="18" hidden="false" customHeight="true" outlineLevel="0" collapsed="false">
      <c r="B33" s="19" t="n">
        <v>3</v>
      </c>
      <c r="C33" s="20" t="n">
        <f aca="false">MAX(1,$C$18+INT(B33/$C$19))</f>
        <v>4</v>
      </c>
      <c r="D33" s="30" t="n">
        <f aca="false">IF(B33&lt;4,$C$20,IF(B33&lt;8,$C$21,$C$22))</f>
        <v>1</v>
      </c>
      <c r="E33" s="20" t="str">
        <f aca="false">IF(AND(B33&gt;0,MOD(B33,$C$15)=0),"cofre","")</f>
        <v>cofre</v>
      </c>
    </row>
    <row r="34" customFormat="false" ht="18" hidden="false" customHeight="true" outlineLevel="0" collapsed="false">
      <c r="B34" s="19" t="n">
        <v>4</v>
      </c>
      <c r="C34" s="20" t="n">
        <f aca="false">MAX(1,$C$18+INT(B34/$C$19))</f>
        <v>4</v>
      </c>
      <c r="D34" s="30" t="n">
        <f aca="false">IF(B34&lt;4,$C$20,IF(B34&lt;8,$C$21,$C$22))</f>
        <v>2</v>
      </c>
      <c r="E34" s="20" t="str">
        <f aca="false">IF(AND(B34&gt;0,MOD(B34,$C$15)=0),"cofre","")</f>
        <v/>
      </c>
    </row>
    <row r="35" customFormat="false" ht="18" hidden="false" customHeight="true" outlineLevel="0" collapsed="false">
      <c r="B35" s="19" t="n">
        <v>5</v>
      </c>
      <c r="C35" s="20" t="n">
        <f aca="false">MAX(1,$C$18+INT(B35/$C$19))</f>
        <v>4</v>
      </c>
      <c r="D35" s="30" t="n">
        <f aca="false">IF(B35&lt;4,$C$20,IF(B35&lt;8,$C$21,$C$22))</f>
        <v>2</v>
      </c>
      <c r="E35" s="20" t="str">
        <f aca="false">IF(AND(B35&gt;0,MOD(B35,$C$15)=0),"cofre","")</f>
        <v/>
      </c>
    </row>
    <row r="36" customFormat="false" ht="18" hidden="false" customHeight="true" outlineLevel="0" collapsed="false">
      <c r="B36" s="19" t="n">
        <v>6</v>
      </c>
      <c r="C36" s="20" t="n">
        <f aca="false">MAX(1,$C$18+INT(B36/$C$19))</f>
        <v>5</v>
      </c>
      <c r="D36" s="30" t="n">
        <f aca="false">IF(B36&lt;4,$C$20,IF(B36&lt;8,$C$21,$C$22))</f>
        <v>2</v>
      </c>
      <c r="E36" s="20" t="str">
        <f aca="false">IF(AND(B36&gt;0,MOD(B36,$C$15)=0),"cofre","")</f>
        <v>cofre</v>
      </c>
    </row>
    <row r="37" customFormat="false" ht="18" hidden="false" customHeight="true" outlineLevel="0" collapsed="false">
      <c r="B37" s="19" t="n">
        <v>7</v>
      </c>
      <c r="C37" s="20" t="n">
        <f aca="false">MAX(1,$C$18+INT(B37/$C$19))</f>
        <v>5</v>
      </c>
      <c r="D37" s="30" t="n">
        <f aca="false">IF(B37&lt;4,$C$20,IF(B37&lt;8,$C$21,$C$22))</f>
        <v>2</v>
      </c>
      <c r="E37" s="20" t="str">
        <f aca="false">IF(AND(B37&gt;0,MOD(B37,$C$15)=0),"cofre","")</f>
        <v/>
      </c>
    </row>
    <row r="38" customFormat="false" ht="18" hidden="false" customHeight="true" outlineLevel="0" collapsed="false">
      <c r="B38" s="19" t="n">
        <v>8</v>
      </c>
      <c r="C38" s="20" t="n">
        <f aca="false">MAX(1,$C$18+INT(B38/$C$19))</f>
        <v>5</v>
      </c>
      <c r="D38" s="30" t="n">
        <f aca="false">IF(B38&lt;4,$C$20,IF(B38&lt;8,$C$21,$C$22))</f>
        <v>3</v>
      </c>
      <c r="E38" s="20" t="str">
        <f aca="false">IF(AND(B38&gt;0,MOD(B38,$C$15)=0),"cofre","")</f>
        <v/>
      </c>
    </row>
    <row r="39" customFormat="false" ht="18" hidden="false" customHeight="true" outlineLevel="0" collapsed="false">
      <c r="B39" s="19" t="n">
        <v>9</v>
      </c>
      <c r="C39" s="20" t="n">
        <f aca="false">MAX(1,$C$18+INT(B39/$C$19))</f>
        <v>6</v>
      </c>
      <c r="D39" s="30" t="n">
        <f aca="false">IF(B39&lt;4,$C$20,IF(B39&lt;8,$C$21,$C$22))</f>
        <v>3</v>
      </c>
      <c r="E39" s="20" t="str">
        <f aca="false">IF(AND(B39&gt;0,MOD(B39,$C$15)=0),"cofre","")</f>
        <v>cofre</v>
      </c>
    </row>
    <row r="40" customFormat="false" ht="18" hidden="false" customHeight="true" outlineLevel="0" collapsed="false">
      <c r="B40" s="19" t="n">
        <v>10</v>
      </c>
      <c r="C40" s="20" t="n">
        <f aca="false">MAX(1,$C$18+INT(B40/$C$19))</f>
        <v>6</v>
      </c>
      <c r="D40" s="30" t="n">
        <f aca="false">IF(B40&lt;4,$C$20,IF(B40&lt;8,$C$21,$C$22))</f>
        <v>3</v>
      </c>
      <c r="E40" s="20" t="str">
        <f aca="false">IF(AND(B40&gt;0,MOD(B40,$C$15)=0),"cofre","")</f>
        <v/>
      </c>
    </row>
    <row r="41" customFormat="false" ht="18" hidden="false" customHeight="true" outlineLevel="0" collapsed="false">
      <c r="B41" s="19" t="n">
        <v>11</v>
      </c>
      <c r="C41" s="20" t="n">
        <f aca="false">MAX(1,$C$18+INT(B41/$C$19))</f>
        <v>6</v>
      </c>
      <c r="D41" s="30" t="n">
        <f aca="false">IF(B41&lt;4,$C$20,IF(B41&lt;8,$C$21,$C$22))</f>
        <v>3</v>
      </c>
      <c r="E41" s="20" t="str">
        <f aca="false">IF(AND(B41&gt;0,MOD(B41,$C$15)=0),"cofre","")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0DFF"/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3"/>
    <col collapsed="false" customWidth="true" hidden="false" outlineLevel="0" max="6" min="6" style="0" width="24"/>
  </cols>
  <sheetData>
    <row r="2" customFormat="false" ht="15" hidden="false" customHeight="false" outlineLevel="0" collapsed="false">
      <c r="B2" s="24" t="s">
        <v>344</v>
      </c>
    </row>
    <row r="3" customFormat="false" ht="25.5" hidden="false" customHeight="true" outlineLevel="0" collapsed="false">
      <c r="B3" s="12" t="s">
        <v>469</v>
      </c>
    </row>
    <row r="4" customFormat="false" ht="15" hidden="false" customHeight="false" outlineLevel="0" collapsed="false">
      <c r="B4" s="13" t="s">
        <v>470</v>
      </c>
    </row>
    <row r="6" customFormat="false" ht="15" hidden="false" customHeight="false" outlineLevel="0" collapsed="false">
      <c r="B6" s="14" t="s">
        <v>471</v>
      </c>
      <c r="F6" s="15" t="s">
        <v>472</v>
      </c>
    </row>
    <row r="7" customFormat="false" ht="19.5" hidden="false" customHeight="true" outlineLevel="0" collapsed="false">
      <c r="B7" s="25" t="s">
        <v>467</v>
      </c>
      <c r="C7" s="26" t="s">
        <v>473</v>
      </c>
      <c r="D7" s="26" t="s">
        <v>474</v>
      </c>
      <c r="E7" s="26" t="s">
        <v>475</v>
      </c>
      <c r="F7" s="26" t="s">
        <v>476</v>
      </c>
    </row>
    <row r="8" customFormat="false" ht="18" hidden="false" customHeight="true" outlineLevel="0" collapsed="false">
      <c r="B8" s="19" t="s">
        <v>477</v>
      </c>
      <c r="C8" s="27" t="n">
        <v>57</v>
      </c>
      <c r="D8" s="27" t="n">
        <v>4</v>
      </c>
      <c r="E8" s="27" t="n">
        <v>1</v>
      </c>
      <c r="F8" s="27" t="n">
        <v>0</v>
      </c>
    </row>
    <row r="9" customFormat="false" ht="18" hidden="false" customHeight="true" outlineLevel="0" collapsed="false">
      <c r="B9" s="19" t="s">
        <v>478</v>
      </c>
      <c r="C9" s="27" t="n">
        <v>28</v>
      </c>
      <c r="D9" s="27" t="n">
        <v>5</v>
      </c>
      <c r="E9" s="27" t="n">
        <v>2</v>
      </c>
      <c r="F9" s="27" t="n">
        <v>1</v>
      </c>
    </row>
    <row r="10" customFormat="false" ht="18" hidden="false" customHeight="true" outlineLevel="0" collapsed="false">
      <c r="B10" s="19" t="s">
        <v>479</v>
      </c>
      <c r="C10" s="27" t="n">
        <v>10</v>
      </c>
      <c r="D10" s="27" t="n">
        <v>6</v>
      </c>
      <c r="E10" s="27" t="n">
        <v>3</v>
      </c>
      <c r="F10" s="27" t="n">
        <v>2</v>
      </c>
    </row>
    <row r="11" customFormat="false" ht="18" hidden="false" customHeight="true" outlineLevel="0" collapsed="false">
      <c r="B11" s="19" t="s">
        <v>480</v>
      </c>
      <c r="C11" s="27" t="n">
        <v>5</v>
      </c>
      <c r="D11" s="27" t="n">
        <v>7</v>
      </c>
      <c r="E11" s="27" t="n">
        <v>2</v>
      </c>
      <c r="F11" s="27" t="n">
        <v>0</v>
      </c>
    </row>
    <row r="14" customFormat="false" ht="15" hidden="false" customHeight="false" outlineLevel="0" collapsed="false">
      <c r="B14" s="14" t="s">
        <v>481</v>
      </c>
      <c r="F14" s="15" t="s">
        <v>482</v>
      </c>
    </row>
    <row r="15" customFormat="false" ht="19.5" hidden="false" customHeight="true" outlineLevel="0" collapsed="false">
      <c r="B15" s="25" t="s">
        <v>23</v>
      </c>
      <c r="C15" s="28" t="s">
        <v>467</v>
      </c>
      <c r="D15" s="26" t="s">
        <v>483</v>
      </c>
      <c r="E15" s="26" t="s">
        <v>484</v>
      </c>
      <c r="F15" s="26" t="s">
        <v>370</v>
      </c>
    </row>
    <row r="16" customFormat="false" ht="18" hidden="false" customHeight="true" outlineLevel="0" collapsed="false">
      <c r="B16" s="19" t="s">
        <v>485</v>
      </c>
      <c r="C16" s="20" t="s">
        <v>477</v>
      </c>
      <c r="D16" s="27" t="s">
        <v>486</v>
      </c>
      <c r="E16" s="27" t="s">
        <v>487</v>
      </c>
      <c r="F16" s="27" t="s">
        <v>400</v>
      </c>
    </row>
    <row r="17" customFormat="false" ht="18" hidden="false" customHeight="true" outlineLevel="0" collapsed="false">
      <c r="B17" s="19" t="s">
        <v>488</v>
      </c>
      <c r="C17" s="20" t="s">
        <v>477</v>
      </c>
      <c r="D17" s="27" t="s">
        <v>486</v>
      </c>
      <c r="E17" s="27" t="s">
        <v>489</v>
      </c>
      <c r="F17" s="27" t="s">
        <v>405</v>
      </c>
    </row>
    <row r="18" customFormat="false" ht="18" hidden="false" customHeight="true" outlineLevel="0" collapsed="false">
      <c r="B18" s="19" t="s">
        <v>490</v>
      </c>
      <c r="C18" s="20" t="s">
        <v>477</v>
      </c>
      <c r="D18" s="27" t="s">
        <v>491</v>
      </c>
      <c r="E18" s="27" t="s">
        <v>492</v>
      </c>
      <c r="F18" s="27" t="s">
        <v>403</v>
      </c>
    </row>
    <row r="19" customFormat="false" ht="18" hidden="false" customHeight="true" outlineLevel="0" collapsed="false">
      <c r="B19" s="19" t="s">
        <v>493</v>
      </c>
      <c r="C19" s="20" t="s">
        <v>477</v>
      </c>
      <c r="D19" s="27" t="s">
        <v>494</v>
      </c>
      <c r="E19" s="27" t="s">
        <v>495</v>
      </c>
      <c r="F19" s="27" t="s">
        <v>397</v>
      </c>
    </row>
    <row r="20" customFormat="false" ht="18" hidden="false" customHeight="true" outlineLevel="0" collapsed="false">
      <c r="B20" s="19" t="s">
        <v>496</v>
      </c>
      <c r="C20" s="20" t="s">
        <v>478</v>
      </c>
      <c r="D20" s="27" t="s">
        <v>486</v>
      </c>
      <c r="E20" s="27" t="s">
        <v>489</v>
      </c>
      <c r="F20" s="27" t="s">
        <v>405</v>
      </c>
    </row>
    <row r="21" customFormat="false" ht="18" hidden="false" customHeight="true" outlineLevel="0" collapsed="false">
      <c r="B21" s="19" t="s">
        <v>497</v>
      </c>
      <c r="C21" s="20" t="s">
        <v>478</v>
      </c>
      <c r="D21" s="27" t="s">
        <v>491</v>
      </c>
      <c r="E21" s="27" t="s">
        <v>498</v>
      </c>
      <c r="F21" s="27" t="s">
        <v>401</v>
      </c>
    </row>
    <row r="22" customFormat="false" ht="18" hidden="false" customHeight="true" outlineLevel="0" collapsed="false">
      <c r="B22" s="19" t="s">
        <v>499</v>
      </c>
      <c r="C22" s="20" t="s">
        <v>478</v>
      </c>
      <c r="D22" s="27" t="s">
        <v>491</v>
      </c>
      <c r="E22" s="27" t="s">
        <v>500</v>
      </c>
      <c r="F22" s="27" t="s">
        <v>403</v>
      </c>
    </row>
    <row r="23" customFormat="false" ht="18" hidden="false" customHeight="true" outlineLevel="0" collapsed="false">
      <c r="B23" s="19" t="s">
        <v>501</v>
      </c>
      <c r="C23" s="20" t="s">
        <v>478</v>
      </c>
      <c r="D23" s="27" t="s">
        <v>494</v>
      </c>
      <c r="E23" s="27" t="s">
        <v>502</v>
      </c>
      <c r="F23" s="27" t="s">
        <v>402</v>
      </c>
    </row>
    <row r="24" customFormat="false" ht="18" hidden="false" customHeight="true" outlineLevel="0" collapsed="false">
      <c r="B24" s="19" t="s">
        <v>503</v>
      </c>
      <c r="C24" s="20" t="s">
        <v>479</v>
      </c>
      <c r="D24" s="27" t="s">
        <v>486</v>
      </c>
      <c r="E24" s="27" t="s">
        <v>504</v>
      </c>
      <c r="F24" s="27" t="s">
        <v>400</v>
      </c>
    </row>
    <row r="25" customFormat="false" ht="18" hidden="false" customHeight="true" outlineLevel="0" collapsed="false">
      <c r="B25" s="19" t="s">
        <v>505</v>
      </c>
      <c r="C25" s="20" t="s">
        <v>479</v>
      </c>
      <c r="D25" s="27" t="s">
        <v>491</v>
      </c>
      <c r="E25" s="27" t="s">
        <v>506</v>
      </c>
      <c r="F25" s="27" t="s">
        <v>403</v>
      </c>
    </row>
    <row r="26" customFormat="false" ht="18" hidden="false" customHeight="true" outlineLevel="0" collapsed="false">
      <c r="B26" s="19" t="s">
        <v>507</v>
      </c>
      <c r="C26" s="20" t="s">
        <v>479</v>
      </c>
      <c r="D26" s="27" t="s">
        <v>494</v>
      </c>
      <c r="E26" s="27" t="s">
        <v>508</v>
      </c>
      <c r="F26" s="27" t="s">
        <v>397</v>
      </c>
    </row>
    <row r="27" customFormat="false" ht="18" hidden="false" customHeight="true" outlineLevel="0" collapsed="false">
      <c r="B27" s="19" t="s">
        <v>509</v>
      </c>
      <c r="C27" s="20" t="s">
        <v>479</v>
      </c>
      <c r="D27" s="27" t="s">
        <v>494</v>
      </c>
      <c r="E27" s="27" t="s">
        <v>510</v>
      </c>
      <c r="F27" s="27" t="s">
        <v>402</v>
      </c>
    </row>
    <row r="28" customFormat="false" ht="18" hidden="false" customHeight="true" outlineLevel="0" collapsed="false">
      <c r="B28" s="19" t="s">
        <v>511</v>
      </c>
      <c r="C28" s="20" t="s">
        <v>480</v>
      </c>
      <c r="D28" s="27" t="s">
        <v>491</v>
      </c>
      <c r="E28" s="27" t="s">
        <v>492</v>
      </c>
      <c r="F28" s="27" t="s">
        <v>512</v>
      </c>
    </row>
    <row r="29" customFormat="false" ht="18" hidden="false" customHeight="true" outlineLevel="0" collapsed="false">
      <c r="B29" s="19" t="s">
        <v>513</v>
      </c>
      <c r="C29" s="20" t="s">
        <v>480</v>
      </c>
      <c r="D29" s="27" t="s">
        <v>494</v>
      </c>
      <c r="E29" s="27" t="s">
        <v>514</v>
      </c>
      <c r="F29" s="27" t="s">
        <v>515</v>
      </c>
    </row>
    <row r="30" customFormat="false" ht="18" hidden="false" customHeight="true" outlineLevel="0" collapsed="false">
      <c r="B30" s="19" t="s">
        <v>516</v>
      </c>
      <c r="C30" s="20" t="s">
        <v>480</v>
      </c>
      <c r="D30" s="27" t="s">
        <v>486</v>
      </c>
      <c r="E30" s="27" t="s">
        <v>487</v>
      </c>
      <c r="F30" s="27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2026-10-27T15:51:18Z</dcterms:created>
  <dc:creator>openpyxl</dc:creator>
  <dc:description/>
  <dc:language>en-US</dc:language>
  <cp:lastModifiedBy/>
  <dcterms:modified xsi:type="dcterms:W3CDTF">2026-10-27T15:51:19Z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